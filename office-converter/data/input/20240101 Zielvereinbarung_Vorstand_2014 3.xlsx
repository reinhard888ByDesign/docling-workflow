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autoCompressPictures="0"/>
  <bookViews>
    <workbookView xWindow="0" yWindow="-440" windowWidth="38400" windowHeight="21600" tabRatio="595"/>
  </bookViews>
  <sheets>
    <sheet name="2014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  <c r="E9" i="1"/>
  <c r="E6" i="1"/>
  <c r="E7" i="1"/>
  <c r="E5" i="1"/>
  <c r="I5" i="1"/>
  <c r="D4" i="1"/>
  <c r="E4" i="1"/>
  <c r="I7" i="1"/>
  <c r="I6" i="1"/>
  <c r="E8" i="1"/>
  <c r="E3" i="1"/>
  <c r="I9" i="1"/>
  <c r="I10" i="1"/>
  <c r="I4" i="1"/>
  <c r="I8" i="1"/>
  <c r="I3" i="1"/>
  <c r="D8" i="1"/>
  <c r="D3" i="1"/>
</calcChain>
</file>

<file path=xl/comments1.xml><?xml version="1.0" encoding="utf-8"?>
<comments xmlns="http://schemas.openxmlformats.org/spreadsheetml/2006/main">
  <authors>
    <author>Christoph Schmidt</author>
  </authors>
  <commentList>
    <comment ref="G1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Betrag für variables Gehalt eintragen </t>
        </r>
      </text>
    </comment>
    <comment ref="H1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Bitte Währungsbezeichnung anpassen</t>
        </r>
      </text>
    </comment>
    <comment ref="D3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E3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I4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D5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bitte Wert eintragen</t>
        </r>
      </text>
    </comment>
    <comment ref="I5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bitte Wert eintragen</t>
        </r>
      </text>
    </comment>
    <comment ref="I6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D7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bitte Wert eintragen</t>
        </r>
      </text>
    </comment>
    <comment ref="I7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D8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H8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in Bezug auf relative Verteilung</t>
        </r>
      </text>
    </comment>
    <comment ref="I8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D9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bitte Wert eintragen</t>
        </r>
      </text>
    </comment>
    <comment ref="I9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  <comment ref="D10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bitte Wert eintragen</t>
        </r>
      </text>
    </comment>
    <comment ref="I10" authorId="0">
      <text>
        <r>
          <rPr>
            <b/>
            <sz val="8"/>
            <color indexed="81"/>
            <rFont val="Tahoma"/>
            <family val="2"/>
          </rPr>
          <t>Christoph Schmidt:</t>
        </r>
        <r>
          <rPr>
            <sz val="8"/>
            <color indexed="81"/>
            <rFont val="Tahoma"/>
            <family val="2"/>
          </rPr>
          <t xml:space="preserve">
wird automatisch berechnet</t>
        </r>
      </text>
    </comment>
  </commentList>
</comments>
</file>

<file path=xl/sharedStrings.xml><?xml version="1.0" encoding="utf-8"?>
<sst xmlns="http://schemas.openxmlformats.org/spreadsheetml/2006/main" count="46" uniqueCount="38">
  <si>
    <t>Qualitative Ziele</t>
  </si>
  <si>
    <t>Quantitative Ziele</t>
  </si>
  <si>
    <t>Abs. Ziel.</t>
  </si>
  <si>
    <t>Bemerkung</t>
  </si>
  <si>
    <t>Beschreibung</t>
  </si>
  <si>
    <t>IST in %</t>
  </si>
  <si>
    <t>Unterschrift Mitarbeiter</t>
  </si>
  <si>
    <t>Unterschrift ec4u expert consulting ag</t>
  </si>
  <si>
    <t>Zielerreichung</t>
  </si>
  <si>
    <t>Ort:</t>
  </si>
  <si>
    <t>Datum:</t>
  </si>
  <si>
    <t>Name:</t>
  </si>
  <si>
    <t>#</t>
  </si>
  <si>
    <t>Eintrag</t>
  </si>
  <si>
    <t>Bedingungen</t>
  </si>
  <si>
    <t>Individualziel 1</t>
  </si>
  <si>
    <t>Individualziel 2</t>
  </si>
  <si>
    <t>Für die variablen Gehaltsanteile gelten die Regelungen des (fortgeschriebene) zugehörigen Arbeitsvertrags.</t>
  </si>
  <si>
    <t>als Betrag</t>
  </si>
  <si>
    <t>Anmerkung zu Exzellenzziel</t>
  </si>
  <si>
    <t>EUR/CHF</t>
  </si>
  <si>
    <t>Mitarbeiterzufriedenheit: Messung in der Mitarbeiterumfrage. Skala dort ist 1-5. Ziel ist ein Wert &lt;2.</t>
  </si>
  <si>
    <t xml:space="preserve">Abs. Vert. 
in % </t>
  </si>
  <si>
    <t xml:space="preserve">Fluktuation: Berechnung gem. BDA-Formel (Abgänge/durschn. Personalbestand). Nicht berücksichtigt werden DHBW-/Werkstudierende, </t>
  </si>
  <si>
    <t>Praktikanten, Diplomanden, Auszubildende, die nach Vertragsende ausscheiden. Ebenso Arbeitgeberkündigungen in der Probezeit.</t>
  </si>
  <si>
    <t>Zielvereinbarung 2014</t>
  </si>
  <si>
    <r>
      <t xml:space="preserve">Variables Gehalt 2014 </t>
    </r>
    <r>
      <rPr>
        <sz val="10"/>
        <rFont val="Calibri"/>
        <family val="2"/>
        <scheme val="minor"/>
      </rPr>
      <t>(beinhaltet alle variablen Gehaltsbestandteile, auch EBIT-Prämie)</t>
    </r>
  </si>
  <si>
    <t>Konsolidierter Umsatz in der DemandGen-Gruppe (AG, Austria, Australia, UK und Singapore)</t>
  </si>
  <si>
    <t>KPIs:</t>
  </si>
  <si>
    <t>Aufbau eines gemeinsamen DemandCenters für die gesamte ec4u-Gruppe: Einheitliche Datenbasis (Eloqua?), gemeinsame Lead Generierung und Qualifizierung sowie Übergabe an das jeweilige Sales Team. KPI: # Leads / # of Appointments/Webmeetings / # Opportunities</t>
  </si>
  <si>
    <r>
      <rPr>
        <u/>
        <sz val="10"/>
        <rFont val="Calibri"/>
        <family val="2"/>
        <scheme val="minor"/>
      </rPr>
      <t>Fluktuation (s. Anmerkung)</t>
    </r>
    <r>
      <rPr>
        <sz val="10"/>
        <rFont val="Calibri"/>
        <family val="2"/>
        <scheme val="minor"/>
      </rPr>
      <t xml:space="preserve">
0%-Marke: 20%; 100%-Marke: 10%</t>
    </r>
    <r>
      <rPr>
        <u/>
        <sz val="10"/>
        <rFont val="Calibri"/>
        <family val="2"/>
        <scheme val="minor"/>
      </rPr>
      <t/>
    </r>
  </si>
  <si>
    <t>Mitarbeiterbindung</t>
  </si>
  <si>
    <t xml:space="preserve">Die maximale Zielerreichung beträgt 200%.
Die Zielerreichung wird gemeinsam mit dem Aufsichtsrat festgestellt.
</t>
  </si>
  <si>
    <t xml:space="preserve">Die Zielerreichung ist nicht gedeckelt. 
Die Zielerreichung wird gemeinsam it dem Aufsichtsrat festgestellt.
</t>
  </si>
  <si>
    <t>0%-Marke: € 0,00
100%-Marke: € 600.000
Zielübererreichung ist möglich und ungedeckelt.</t>
  </si>
  <si>
    <t>0%-Marke: € 0,00
100%-Marke: € 5.600.000,00
Zielübererreichung ist möglich und ungedeckelt.</t>
  </si>
  <si>
    <t>Account Management: Identifizierung von fünf Accounts, die gemeinsam mit dem ec4u-Account Manager besucht werden und für die im zweiten Halbjahr ein gemeinsamer Entwicklungsplan erstellt wird.</t>
  </si>
  <si>
    <t>EBIT 2014 der DemandGen Gruppe (AG, Austria, UK, Australia und Singapore)
(EBIT-Ziel)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</si>
</sst>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_ ;\-#,##0.00\ 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9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name val="Arial"/>
      <family val="2"/>
    </font>
    <font>
      <b/>
      <u/>
      <sz val="14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4" fontId="1" fillId="2" borderId="1"/>
    <xf numFmtId="0" fontId="3" fillId="3" borderId="4" applyNumberFormat="0" applyAlignment="0" applyProtection="0"/>
    <xf numFmtId="0" fontId="4" fillId="4" borderId="4" applyNumberFormat="0" applyAlignment="0" applyProtection="0"/>
    <xf numFmtId="44" fontId="1" fillId="0" borderId="0" applyFont="0" applyFill="0" applyBorder="0" applyAlignment="0" applyProtection="0"/>
    <xf numFmtId="0" fontId="5" fillId="5" borderId="0" applyNumberFormat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47">
    <xf numFmtId="0" fontId="0" fillId="0" borderId="0" xfId="0"/>
    <xf numFmtId="0" fontId="7" fillId="0" borderId="0" xfId="0" applyFont="1"/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3" xfId="0" applyFont="1" applyBorder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vertical="top"/>
    </xf>
    <xf numFmtId="0" fontId="11" fillId="6" borderId="2" xfId="2" applyFont="1" applyFill="1" applyBorder="1" applyAlignment="1"/>
    <xf numFmtId="0" fontId="8" fillId="0" borderId="0" xfId="0" applyFont="1" applyBorder="1" applyAlignment="1">
      <alignment horizontal="center"/>
    </xf>
    <xf numFmtId="9" fontId="12" fillId="4" borderId="2" xfId="3" applyNumberFormat="1" applyFont="1" applyBorder="1" applyAlignment="1" applyProtection="1">
      <alignment horizontal="center" vertical="top"/>
      <protection locked="0"/>
    </xf>
    <xf numFmtId="49" fontId="6" fillId="7" borderId="2" xfId="0" applyNumberFormat="1" applyFont="1" applyFill="1" applyBorder="1" applyAlignment="1">
      <alignment horizontal="left"/>
    </xf>
    <xf numFmtId="49" fontId="7" fillId="0" borderId="2" xfId="3" applyNumberFormat="1" applyFont="1" applyFill="1" applyBorder="1" applyAlignment="1" applyProtection="1">
      <alignment horizontal="left" vertical="top" wrapText="1"/>
      <protection locked="0"/>
    </xf>
    <xf numFmtId="49" fontId="6" fillId="7" borderId="2" xfId="0" applyNumberFormat="1" applyFont="1" applyFill="1" applyBorder="1" applyAlignment="1">
      <alignment horizontal="left"/>
    </xf>
    <xf numFmtId="9" fontId="6" fillId="9" borderId="2" xfId="0" applyNumberFormat="1" applyFont="1" applyFill="1" applyBorder="1" applyAlignment="1">
      <alignment horizontal="center" vertical="top"/>
    </xf>
    <xf numFmtId="49" fontId="6" fillId="9" borderId="2" xfId="0" applyNumberFormat="1" applyFont="1" applyFill="1" applyBorder="1" applyAlignment="1">
      <alignment horizontal="left"/>
    </xf>
    <xf numFmtId="9" fontId="6" fillId="9" borderId="2" xfId="0" applyNumberFormat="1" applyFont="1" applyFill="1" applyBorder="1" applyAlignment="1">
      <alignment horizontal="center"/>
    </xf>
    <xf numFmtId="9" fontId="6" fillId="7" borderId="2" xfId="0" applyNumberFormat="1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/>
    </xf>
    <xf numFmtId="9" fontId="6" fillId="7" borderId="2" xfId="0" applyNumberFormat="1" applyFont="1" applyFill="1" applyBorder="1" applyAlignment="1">
      <alignment horizontal="center"/>
    </xf>
    <xf numFmtId="4" fontId="12" fillId="4" borderId="2" xfId="6" applyNumberFormat="1" applyFont="1" applyFill="1" applyBorder="1" applyAlignment="1" applyProtection="1">
      <alignment horizontal="center" vertical="top"/>
      <protection locked="0"/>
    </xf>
    <xf numFmtId="4" fontId="6" fillId="9" borderId="2" xfId="0" applyNumberFormat="1" applyFont="1" applyFill="1" applyBorder="1" applyAlignment="1">
      <alignment horizontal="center" vertical="top"/>
    </xf>
    <xf numFmtId="4" fontId="6" fillId="7" borderId="2" xfId="0" applyNumberFormat="1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/>
    </xf>
    <xf numFmtId="9" fontId="6" fillId="9" borderId="2" xfId="3" applyNumberFormat="1" applyFont="1" applyFill="1" applyBorder="1" applyAlignment="1" applyProtection="1">
      <alignment horizontal="center" vertical="top"/>
      <protection locked="0"/>
    </xf>
    <xf numFmtId="4" fontId="6" fillId="9" borderId="2" xfId="7" applyNumberFormat="1" applyFont="1" applyFill="1" applyBorder="1" applyAlignment="1">
      <alignment horizontal="center" vertical="top"/>
    </xf>
    <xf numFmtId="4" fontId="7" fillId="6" borderId="2" xfId="6" applyNumberFormat="1" applyFont="1" applyFill="1" applyBorder="1" applyAlignment="1" applyProtection="1">
      <alignment horizontal="center" vertical="center"/>
      <protection locked="0"/>
    </xf>
    <xf numFmtId="9" fontId="12" fillId="4" borderId="2" xfId="8" applyFont="1" applyFill="1" applyBorder="1" applyAlignment="1" applyProtection="1">
      <alignment horizontal="center" vertical="top"/>
      <protection locked="0"/>
    </xf>
    <xf numFmtId="9" fontId="12" fillId="4" borderId="2" xfId="8" applyFont="1" applyFill="1" applyBorder="1" applyAlignment="1" applyProtection="1">
      <alignment horizontal="center" vertical="center"/>
      <protection locked="0"/>
    </xf>
    <xf numFmtId="9" fontId="7" fillId="8" borderId="2" xfId="2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top" wrapText="1"/>
    </xf>
    <xf numFmtId="49" fontId="7" fillId="6" borderId="2" xfId="5" applyNumberFormat="1" applyFont="1" applyFill="1" applyBorder="1" applyAlignment="1">
      <alignment horizontal="left" vertical="top" wrapText="1"/>
    </xf>
    <xf numFmtId="49" fontId="6" fillId="9" borderId="2" xfId="0" applyNumberFormat="1" applyFont="1" applyFill="1" applyBorder="1" applyAlignment="1">
      <alignment horizontal="left"/>
    </xf>
    <xf numFmtId="49" fontId="17" fillId="0" borderId="2" xfId="3" applyNumberFormat="1" applyFont="1" applyFill="1" applyBorder="1" applyAlignment="1" applyProtection="1">
      <alignment horizontal="left" vertical="top" wrapText="1"/>
      <protection locked="0"/>
    </xf>
    <xf numFmtId="49" fontId="6" fillId="6" borderId="6" xfId="0" applyNumberFormat="1" applyFont="1" applyFill="1" applyBorder="1" applyAlignment="1">
      <alignment horizontal="center" wrapText="1"/>
    </xf>
    <xf numFmtId="49" fontId="6" fillId="6" borderId="5" xfId="0" applyNumberFormat="1" applyFont="1" applyFill="1" applyBorder="1" applyAlignment="1">
      <alignment horizontal="center" wrapText="1"/>
    </xf>
    <xf numFmtId="164" fontId="16" fillId="4" borderId="6" xfId="6" applyNumberFormat="1" applyFont="1" applyFill="1" applyBorder="1" applyAlignment="1" applyProtection="1">
      <alignment horizontal="center" vertical="center" wrapText="1"/>
      <protection locked="0"/>
    </xf>
    <xf numFmtId="164" fontId="16" fillId="4" borderId="5" xfId="6" applyNumberFormat="1" applyFont="1" applyFill="1" applyBorder="1" applyAlignment="1" applyProtection="1">
      <alignment horizontal="center" vertical="center" wrapText="1"/>
      <protection locked="0"/>
    </xf>
    <xf numFmtId="49" fontId="7" fillId="6" borderId="2" xfId="5" applyNumberFormat="1" applyFont="1" applyFill="1" applyBorder="1" applyAlignment="1">
      <alignment horizontal="left" vertical="top" wrapText="1"/>
    </xf>
    <xf numFmtId="49" fontId="6" fillId="7" borderId="6" xfId="0" applyNumberFormat="1" applyFont="1" applyFill="1" applyBorder="1" applyAlignment="1">
      <alignment horizontal="center"/>
    </xf>
    <xf numFmtId="49" fontId="6" fillId="7" borderId="5" xfId="0" applyNumberFormat="1" applyFont="1" applyFill="1" applyBorder="1" applyAlignment="1">
      <alignment horizontal="center"/>
    </xf>
    <xf numFmtId="49" fontId="6" fillId="7" borderId="6" xfId="0" applyNumberFormat="1" applyFont="1" applyFill="1" applyBorder="1" applyAlignment="1">
      <alignment horizontal="center" wrapText="1"/>
    </xf>
    <xf numFmtId="49" fontId="6" fillId="7" borderId="5" xfId="0" applyNumberFormat="1" applyFont="1" applyFill="1" applyBorder="1" applyAlignment="1">
      <alignment horizontal="center" wrapText="1"/>
    </xf>
    <xf numFmtId="49" fontId="6" fillId="7" borderId="2" xfId="0" applyNumberFormat="1" applyFont="1" applyFill="1" applyBorder="1" applyAlignment="1">
      <alignment horizontal="left"/>
    </xf>
    <xf numFmtId="49" fontId="14" fillId="0" borderId="2" xfId="0" applyNumberFormat="1" applyFont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left"/>
    </xf>
  </cellXfs>
  <cellStyles count="9">
    <cellStyle name="_data" xfId="1"/>
    <cellStyle name="Berechnung" xfId="2" builtinId="22"/>
    <cellStyle name="Dezimal" xfId="7" builtinId="3"/>
    <cellStyle name="Eingabe" xfId="3" builtinId="20"/>
    <cellStyle name="Euro" xfId="4"/>
    <cellStyle name="Gut" xfId="5" builtinId="26"/>
    <cellStyle name="Prozent" xfId="8" builtinId="5"/>
    <cellStyle name="Standard" xfId="0" builtinId="0"/>
    <cellStyle name="Währung" xfId="6" builtinId="4"/>
  </cellStyles>
  <dxfs count="1">
    <dxf>
      <font>
        <b/>
        <i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outlinePr summaryRight="0"/>
    <pageSetUpPr fitToPage="1"/>
  </sheetPr>
  <dimension ref="A1:I23"/>
  <sheetViews>
    <sheetView tabSelected="1" view="pageLayout" zoomScale="125" zoomScaleNormal="90" zoomScalePageLayoutView="90" workbookViewId="0">
      <selection activeCell="G14" sqref="G14"/>
    </sheetView>
  </sheetViews>
  <sheetFormatPr baseColWidth="10" defaultColWidth="11.5" defaultRowHeight="14" x14ac:dyDescent="0"/>
  <cols>
    <col min="1" max="1" width="3" style="1" bestFit="1" customWidth="1"/>
    <col min="2" max="2" width="8.5" style="1" customWidth="1"/>
    <col min="3" max="3" width="25.5" style="1" customWidth="1"/>
    <col min="4" max="4" width="9.5" style="7" customWidth="1"/>
    <col min="5" max="5" width="10.5" style="1" bestFit="1" customWidth="1"/>
    <col min="6" max="6" width="33.5" style="1" customWidth="1"/>
    <col min="7" max="7" width="48.6640625" style="1" customWidth="1"/>
    <col min="8" max="8" width="8.5" style="1" customWidth="1"/>
    <col min="9" max="9" width="9.5" style="1" customWidth="1"/>
    <col min="10" max="16384" width="11.5" style="1"/>
  </cols>
  <sheetData>
    <row r="1" spans="1:9" ht="12.75" customHeight="1">
      <c r="A1" s="45" t="s">
        <v>25</v>
      </c>
      <c r="B1" s="45"/>
      <c r="C1" s="45"/>
      <c r="D1" s="42" t="s">
        <v>22</v>
      </c>
      <c r="E1" s="40" t="s">
        <v>18</v>
      </c>
      <c r="F1" s="35" t="s">
        <v>26</v>
      </c>
      <c r="G1" s="37">
        <v>0</v>
      </c>
      <c r="H1" s="21" t="s">
        <v>20</v>
      </c>
      <c r="I1" s="9"/>
    </row>
    <row r="2" spans="1:9">
      <c r="A2" s="45"/>
      <c r="B2" s="45"/>
      <c r="C2" s="45"/>
      <c r="D2" s="43"/>
      <c r="E2" s="41"/>
      <c r="F2" s="36"/>
      <c r="G2" s="38"/>
      <c r="H2" s="2"/>
      <c r="I2" s="3" t="s">
        <v>2</v>
      </c>
    </row>
    <row r="3" spans="1:9">
      <c r="A3" s="2"/>
      <c r="B3" s="44"/>
      <c r="C3" s="44"/>
      <c r="D3" s="18">
        <f>(D8+D4)</f>
        <v>1</v>
      </c>
      <c r="E3" s="23">
        <f>(E8+E4)</f>
        <v>0</v>
      </c>
      <c r="F3" s="12" t="s">
        <v>14</v>
      </c>
      <c r="G3" s="14" t="s">
        <v>8</v>
      </c>
      <c r="H3" s="19"/>
      <c r="I3" s="20">
        <f>(I8+I4)</f>
        <v>0</v>
      </c>
    </row>
    <row r="4" spans="1:9">
      <c r="A4" s="8" t="s">
        <v>12</v>
      </c>
      <c r="B4" s="46" t="s">
        <v>1</v>
      </c>
      <c r="C4" s="46"/>
      <c r="D4" s="25">
        <f>SUM(D5:D7)</f>
        <v>0.79999999999999993</v>
      </c>
      <c r="E4" s="26">
        <f>SUM(E5:E7)</f>
        <v>0</v>
      </c>
      <c r="F4" s="16" t="s">
        <v>4</v>
      </c>
      <c r="G4" s="16" t="s">
        <v>3</v>
      </c>
      <c r="H4" s="24" t="s">
        <v>5</v>
      </c>
      <c r="I4" s="17">
        <f>SUM(I5:I7)</f>
        <v>0</v>
      </c>
    </row>
    <row r="5" spans="1:9" ht="61" customHeight="1">
      <c r="A5" s="8">
        <v>1</v>
      </c>
      <c r="B5" s="39" t="s">
        <v>37</v>
      </c>
      <c r="C5" s="39"/>
      <c r="D5" s="11">
        <v>0.5</v>
      </c>
      <c r="E5" s="27">
        <f>$G$1*D5</f>
        <v>0</v>
      </c>
      <c r="F5" s="32" t="s">
        <v>34</v>
      </c>
      <c r="G5" s="13"/>
      <c r="H5" s="28" t="s">
        <v>13</v>
      </c>
      <c r="I5" s="30">
        <f>IF(H5="Eintrag",0%,H5*D5)</f>
        <v>0</v>
      </c>
    </row>
    <row r="6" spans="1:9" ht="64" customHeight="1">
      <c r="A6" s="8">
        <v>3</v>
      </c>
      <c r="B6" s="39" t="s">
        <v>27</v>
      </c>
      <c r="C6" s="39"/>
      <c r="D6" s="11">
        <v>0.2</v>
      </c>
      <c r="E6" s="27">
        <f t="shared" ref="E6:E9" si="0">$G$1*D6</f>
        <v>0</v>
      </c>
      <c r="F6" s="32" t="s">
        <v>35</v>
      </c>
      <c r="G6" s="13"/>
      <c r="H6" s="28" t="s">
        <v>13</v>
      </c>
      <c r="I6" s="30">
        <f>IF(H6="Eintrag",0%,H6*D6)</f>
        <v>0</v>
      </c>
    </row>
    <row r="7" spans="1:9" ht="33" customHeight="1">
      <c r="A7" s="8">
        <v>4</v>
      </c>
      <c r="B7" s="39" t="s">
        <v>31</v>
      </c>
      <c r="C7" s="39"/>
      <c r="D7" s="11">
        <v>0.1</v>
      </c>
      <c r="E7" s="27">
        <f t="shared" si="0"/>
        <v>0</v>
      </c>
      <c r="F7" s="32" t="s">
        <v>30</v>
      </c>
      <c r="G7" s="34"/>
      <c r="H7" s="28" t="s">
        <v>13</v>
      </c>
      <c r="I7" s="30">
        <f>IF(H7="Eintrag",0%,H7*D7)</f>
        <v>0</v>
      </c>
    </row>
    <row r="8" spans="1:9">
      <c r="A8" s="2" t="s">
        <v>12</v>
      </c>
      <c r="B8" s="46" t="s">
        <v>0</v>
      </c>
      <c r="C8" s="46"/>
      <c r="D8" s="15">
        <f>SUM(D9:D10)</f>
        <v>0.2</v>
      </c>
      <c r="E8" s="22">
        <f>SUM(E9:E10)</f>
        <v>0</v>
      </c>
      <c r="F8" s="33" t="s">
        <v>4</v>
      </c>
      <c r="G8" s="16" t="s">
        <v>3</v>
      </c>
      <c r="H8" s="24" t="s">
        <v>5</v>
      </c>
      <c r="I8" s="17">
        <f>SUM(I9:I10)</f>
        <v>0</v>
      </c>
    </row>
    <row r="9" spans="1:9" ht="70">
      <c r="A9" s="8">
        <v>6</v>
      </c>
      <c r="B9" s="39" t="s">
        <v>15</v>
      </c>
      <c r="C9" s="39"/>
      <c r="D9" s="11">
        <v>0.1</v>
      </c>
      <c r="E9" s="27">
        <f t="shared" si="0"/>
        <v>0</v>
      </c>
      <c r="F9" s="31" t="s">
        <v>36</v>
      </c>
      <c r="G9" s="13" t="s">
        <v>32</v>
      </c>
      <c r="H9" s="29" t="s">
        <v>13</v>
      </c>
      <c r="I9" s="30">
        <f>IF(H9="Eintrag",0%,H9*D9)</f>
        <v>0</v>
      </c>
    </row>
    <row r="10" spans="1:9" ht="106" customHeight="1">
      <c r="A10" s="8">
        <v>7</v>
      </c>
      <c r="B10" s="39" t="s">
        <v>16</v>
      </c>
      <c r="C10" s="39"/>
      <c r="D10" s="11">
        <v>0.1</v>
      </c>
      <c r="E10" s="27">
        <f>$G$1*D10</f>
        <v>0</v>
      </c>
      <c r="F10" s="31" t="s">
        <v>29</v>
      </c>
      <c r="G10" s="13" t="s">
        <v>33</v>
      </c>
      <c r="H10" s="29" t="s">
        <v>13</v>
      </c>
      <c r="I10" s="30">
        <f>IF(H10="Eintrag",0%,H10*D10)</f>
        <v>0</v>
      </c>
    </row>
    <row r="11" spans="1:9">
      <c r="F11" s="1" t="s">
        <v>28</v>
      </c>
    </row>
    <row r="12" spans="1:9">
      <c r="B12" s="4" t="s">
        <v>17</v>
      </c>
    </row>
    <row r="13" spans="1:9">
      <c r="B13" s="4"/>
    </row>
    <row r="14" spans="1:9">
      <c r="B14" s="4" t="s">
        <v>19</v>
      </c>
      <c r="C14" s="4"/>
    </row>
    <row r="15" spans="1:9">
      <c r="B15" s="4"/>
      <c r="C15" s="4" t="s">
        <v>23</v>
      </c>
    </row>
    <row r="16" spans="1:9">
      <c r="B16" s="4"/>
      <c r="C16" s="4" t="s">
        <v>24</v>
      </c>
    </row>
    <row r="17" spans="2:7">
      <c r="B17" s="4"/>
      <c r="C17" s="4" t="s">
        <v>21</v>
      </c>
      <c r="D17" s="5"/>
      <c r="E17" s="4"/>
      <c r="F17" s="4"/>
      <c r="G17" s="4"/>
    </row>
    <row r="18" spans="2:7">
      <c r="B18" s="4" t="s">
        <v>11</v>
      </c>
      <c r="C18" s="4"/>
      <c r="D18" s="5"/>
      <c r="E18" s="4"/>
      <c r="F18" s="4"/>
      <c r="G18" s="4"/>
    </row>
    <row r="19" spans="2:7">
      <c r="B19" s="4" t="s">
        <v>9</v>
      </c>
      <c r="C19" s="4"/>
      <c r="D19" s="5"/>
      <c r="E19" s="4"/>
      <c r="F19" s="4"/>
      <c r="G19" s="4"/>
    </row>
    <row r="20" spans="2:7">
      <c r="B20" s="4" t="s">
        <v>10</v>
      </c>
      <c r="C20" s="4"/>
      <c r="D20" s="5"/>
      <c r="E20" s="4"/>
      <c r="F20" s="4"/>
      <c r="G20" s="4"/>
    </row>
    <row r="21" spans="2:7">
      <c r="B21" s="4"/>
      <c r="C21" s="4"/>
      <c r="D21" s="5"/>
      <c r="E21" s="4"/>
      <c r="F21" s="4"/>
      <c r="G21" s="4"/>
    </row>
    <row r="22" spans="2:7" ht="15" thickBot="1">
      <c r="B22" s="6"/>
      <c r="C22" s="6"/>
      <c r="D22" s="10"/>
      <c r="E22" s="4"/>
      <c r="F22" s="6"/>
    </row>
    <row r="23" spans="2:7">
      <c r="B23" s="4" t="s">
        <v>6</v>
      </c>
      <c r="C23" s="4"/>
      <c r="D23" s="5"/>
      <c r="E23" s="4"/>
      <c r="F23" s="4" t="s">
        <v>7</v>
      </c>
    </row>
  </sheetData>
  <sheetProtection formatColumns="0" formatRows="0" selectLockedCells="1"/>
  <mergeCells count="13">
    <mergeCell ref="B9:C9"/>
    <mergeCell ref="B10:C10"/>
    <mergeCell ref="B7:C7"/>
    <mergeCell ref="A1:C2"/>
    <mergeCell ref="B8:C8"/>
    <mergeCell ref="B4:C4"/>
    <mergeCell ref="F1:F2"/>
    <mergeCell ref="G1:G2"/>
    <mergeCell ref="B5:C5"/>
    <mergeCell ref="B6:C6"/>
    <mergeCell ref="E1:E2"/>
    <mergeCell ref="D1:D2"/>
    <mergeCell ref="B3:C3"/>
  </mergeCells>
  <phoneticPr fontId="2" type="noConversion"/>
  <conditionalFormatting sqref="D3">
    <cfRule type="cellIs" dxfId="0" priority="1" operator="notEqual">
      <formula>1</formula>
    </cfRule>
  </conditionalFormatting>
  <printOptions horizontalCentered="1" verticalCentered="1"/>
  <pageMargins left="0.39370078740157483" right="0.39370078740157483" top="0.59055118110236227" bottom="0.59055118110236227" header="0.39370078740157483" footer="0.39370078740157483"/>
  <pageSetup paperSize="9" scale="81" orientation="landscape"/>
  <headerFooter alignWithMargins="0">
    <oddFooter>&amp;F</oddFooter>
  </headerFooter>
  <ignoredErrors>
    <ignoredError sqref="I4" formula="1"/>
  </ignoredErrors>
  <legacyDrawing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</vt:lpstr>
    </vt:vector>
  </TitlesOfParts>
  <Company>eC4u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Peer Stehling</dc:creator>
  <cp:lastModifiedBy>Reinhard Janning</cp:lastModifiedBy>
  <cp:lastPrinted>2011-12-22T09:06:26Z</cp:lastPrinted>
  <dcterms:created xsi:type="dcterms:W3CDTF">2006-08-24T10:15:01Z</dcterms:created>
  <dcterms:modified xsi:type="dcterms:W3CDTF">2014-04-23T13:10:20Z</dcterms:modified>
</cp:coreProperties>
</file>