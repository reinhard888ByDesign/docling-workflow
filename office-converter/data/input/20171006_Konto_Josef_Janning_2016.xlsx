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mann\Desktop\DESKTOP\Senior\"/>
    </mc:Choice>
  </mc:AlternateContent>
  <bookViews>
    <workbookView xWindow="0" yWindow="0" windowWidth="20490" windowHeight="7755" activeTab="2"/>
  </bookViews>
  <sheets>
    <sheet name="Papa Privat 2016" sheetId="1" r:id="rId1"/>
    <sheet name="Hauskonto 2016" sheetId="3" r:id="rId2"/>
    <sheet name="Hauskonto 2017" sheetId="4" r:id="rId3"/>
    <sheet name="Papa Privat 2017" sheetId="2" r:id="rId4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3" i="4" l="1"/>
  <c r="L37" i="2"/>
  <c r="K37" i="2"/>
  <c r="J37" i="2"/>
  <c r="I37" i="2"/>
  <c r="J33" i="4"/>
  <c r="I33" i="4"/>
  <c r="H33" i="4"/>
  <c r="G33" i="4"/>
  <c r="H37" i="2"/>
  <c r="F33" i="4"/>
  <c r="G37" i="2"/>
  <c r="D33" i="4"/>
  <c r="D37" i="2"/>
  <c r="F37" i="2"/>
  <c r="E33" i="4"/>
  <c r="C33" i="4"/>
  <c r="B33" i="4"/>
  <c r="I35" i="3"/>
  <c r="H35" i="3"/>
  <c r="G35" i="3"/>
  <c r="F35" i="3"/>
  <c r="E35" i="3"/>
  <c r="D35" i="3"/>
  <c r="C35" i="3"/>
  <c r="B35" i="3"/>
  <c r="E37" i="2"/>
  <c r="C37" i="2"/>
  <c r="I53" i="1"/>
  <c r="I56" i="1"/>
  <c r="H53" i="1"/>
  <c r="H56" i="1"/>
  <c r="G53" i="1"/>
  <c r="G56" i="1"/>
  <c r="F53" i="1"/>
  <c r="F56" i="1"/>
  <c r="E53" i="1"/>
  <c r="E56" i="1"/>
  <c r="D53" i="1"/>
  <c r="D56" i="1"/>
  <c r="C53" i="1"/>
  <c r="C56" i="1"/>
  <c r="B53" i="1"/>
  <c r="B56" i="1"/>
</calcChain>
</file>

<file path=xl/sharedStrings.xml><?xml version="1.0" encoding="utf-8"?>
<sst xmlns="http://schemas.openxmlformats.org/spreadsheetml/2006/main" count="203" uniqueCount="103">
  <si>
    <t>KVW Rente</t>
  </si>
  <si>
    <t>Einnahmen Kontostand am 28.04.2016</t>
  </si>
  <si>
    <t xml:space="preserve"> </t>
  </si>
  <si>
    <t>Rente Trilux</t>
  </si>
  <si>
    <t>Ausgaben</t>
  </si>
  <si>
    <t>Unitymedia</t>
  </si>
  <si>
    <t>RV-Rente</t>
  </si>
  <si>
    <t>Renten-Service</t>
  </si>
  <si>
    <t>Kontoführung</t>
  </si>
  <si>
    <t>Privat (?)</t>
  </si>
  <si>
    <t>Umbuchung Hauskonto</t>
  </si>
  <si>
    <t>Unfallversicherung</t>
  </si>
  <si>
    <t>Mai</t>
  </si>
  <si>
    <t>Juni</t>
  </si>
  <si>
    <t>Juli</t>
  </si>
  <si>
    <t>August</t>
  </si>
  <si>
    <t>September</t>
  </si>
  <si>
    <t>Oktober</t>
  </si>
  <si>
    <t xml:space="preserve">November </t>
  </si>
  <si>
    <t>Dezember</t>
  </si>
  <si>
    <t>Funke Medien</t>
  </si>
  <si>
    <t>Kolpingfamilie Neheim</t>
  </si>
  <si>
    <t>RWE</t>
  </si>
  <si>
    <t>Rundfunk Gebühren</t>
  </si>
  <si>
    <t>Caritas</t>
  </si>
  <si>
    <t>Apotheke</t>
  </si>
  <si>
    <t>Seniorenwohnpark</t>
  </si>
  <si>
    <t>Klinikum Arnsberg</t>
  </si>
  <si>
    <t xml:space="preserve">Haftpflichtversicherung </t>
  </si>
  <si>
    <t>Caritas (Hausnotruf)</t>
  </si>
  <si>
    <t>Sparbuch</t>
  </si>
  <si>
    <t>Kraftfahrtversicherung</t>
  </si>
  <si>
    <t>Haus Klostereichen</t>
  </si>
  <si>
    <t>Abmeldung Zeitung</t>
  </si>
  <si>
    <t>Barentnahme</t>
  </si>
  <si>
    <t>Zahnarzt Dr. Kleine, Neue Krone</t>
  </si>
  <si>
    <t xml:space="preserve">Caritas Erstattung </t>
  </si>
  <si>
    <t>Krankenkasse Fahrtkosten</t>
  </si>
  <si>
    <t>Erstattung ADAC</t>
  </si>
  <si>
    <t>Erstattung Unfallversicherung</t>
  </si>
  <si>
    <t>Anschaffung Fernseher A. Troubnikoff</t>
  </si>
  <si>
    <t>Auflösung Sparbuch</t>
  </si>
  <si>
    <t>Wohngebäudevers.</t>
  </si>
  <si>
    <t>Umbuchung Wohngebäudevers</t>
  </si>
  <si>
    <t>Erstattung Rundfunk</t>
  </si>
  <si>
    <t xml:space="preserve">Autoverkauf </t>
  </si>
  <si>
    <t>Autoverkauf</t>
  </si>
  <si>
    <t>Hausratversicherung</t>
  </si>
  <si>
    <t>Erstattung KFZ Steuer</t>
  </si>
  <si>
    <t>Wohnungsauflösung Deimann</t>
  </si>
  <si>
    <t>Einkommensteuer Erklärung Beckmann</t>
  </si>
  <si>
    <t>Krankentransport</t>
  </si>
  <si>
    <t>Kontoaufstellung Josef Janning ab 01.05.2016-31.12.2016</t>
  </si>
  <si>
    <t>Kontoaufstellung Josef Janning ab 01.01.2017</t>
  </si>
  <si>
    <t>Januar</t>
  </si>
  <si>
    <t>Februar</t>
  </si>
  <si>
    <t>März</t>
  </si>
  <si>
    <t>April</t>
  </si>
  <si>
    <t>Grabpflege Janning</t>
  </si>
  <si>
    <t>Kontostand am 01. des Monates</t>
  </si>
  <si>
    <t>DAK Zuzahlungen</t>
  </si>
  <si>
    <t>Erstattung HUK</t>
  </si>
  <si>
    <t>Finanzamt Arnsberg</t>
  </si>
  <si>
    <t>Miete Josef Janning</t>
  </si>
  <si>
    <t>Miete Andreas Völtz</t>
  </si>
  <si>
    <t>Miete Petermann</t>
  </si>
  <si>
    <t>Darlehn 1</t>
  </si>
  <si>
    <t>Darlehn 2</t>
  </si>
  <si>
    <t>Entgelt Kontoführung</t>
  </si>
  <si>
    <t>Abschlagzahlung Petermann Nebenkosten Souterrain</t>
  </si>
  <si>
    <t>Stadtwerke Arnsberg</t>
  </si>
  <si>
    <t>Telekom Papa</t>
  </si>
  <si>
    <t>Überweisung Papa Privat für Erst. ADAC</t>
  </si>
  <si>
    <t>Berlet Neuer Kühlschrank Souterrain</t>
  </si>
  <si>
    <t>Umbuchung an Papa Privat ADAC</t>
  </si>
  <si>
    <t>Wohngebäudeversicherung</t>
  </si>
  <si>
    <t>Schornsteinfeger</t>
  </si>
  <si>
    <t>Instandhaltung Haus/Garten</t>
  </si>
  <si>
    <t>Instandhaltung/Trockenlegung Keller</t>
  </si>
  <si>
    <t>Miete Tim Watts</t>
  </si>
  <si>
    <t>Andreas Gödde</t>
  </si>
  <si>
    <t>Goeke Reinigung Terrassendach Papa</t>
  </si>
  <si>
    <t>Abrechnung RWE Strom</t>
  </si>
  <si>
    <t>Innogy Strom</t>
  </si>
  <si>
    <t>Innogy Gas</t>
  </si>
  <si>
    <t>Andreas Gödde, Heizungswartung</t>
  </si>
  <si>
    <t>Oberreuther</t>
  </si>
  <si>
    <t>Deimann</t>
  </si>
  <si>
    <t xml:space="preserve">Obi </t>
  </si>
  <si>
    <t>Rasensamen, Blumenerde usw.</t>
  </si>
  <si>
    <t>Heimatbund</t>
  </si>
  <si>
    <t>Schuster</t>
  </si>
  <si>
    <t>Keßler, Wartung Rasenmäher</t>
  </si>
  <si>
    <t>Beckmann, Steuerberater</t>
  </si>
  <si>
    <r>
      <rPr>
        <b/>
        <sz val="11"/>
        <color theme="1"/>
        <rFont val="Calibri"/>
        <family val="2"/>
        <scheme val="minor"/>
      </rPr>
      <t>HAUSKONTO</t>
    </r>
    <r>
      <rPr>
        <sz val="11"/>
        <color theme="1"/>
        <rFont val="Calibri"/>
        <family val="2"/>
        <scheme val="minor"/>
      </rPr>
      <t xml:space="preserve"> Josef Janning ab 01.05.2016-31.12.2016</t>
    </r>
  </si>
  <si>
    <r>
      <rPr>
        <b/>
        <sz val="11"/>
        <color theme="1"/>
        <rFont val="Calibri"/>
        <family val="2"/>
        <scheme val="minor"/>
      </rPr>
      <t>HAUSKONTO</t>
    </r>
    <r>
      <rPr>
        <sz val="11"/>
        <color theme="1"/>
        <rFont val="Calibri"/>
        <family val="2"/>
        <scheme val="minor"/>
      </rPr>
      <t xml:space="preserve"> Josef Janning ab 01.01.2017-31.12.2017</t>
    </r>
  </si>
  <si>
    <t>HUK Coburg, Wohngebäude-Vers.</t>
  </si>
  <si>
    <t>Elmar Maas Baumwurzelfräsdienst</t>
  </si>
  <si>
    <t>November</t>
  </si>
  <si>
    <t>Conseico, Putzen Flur und Kellerräume</t>
  </si>
  <si>
    <t>Taschengeldkonto Papa</t>
  </si>
  <si>
    <t>Gutachterausschuss</t>
  </si>
  <si>
    <t>Goeke Putzen Fenster Flur und Keller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</si>
</sst>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1" xfId="0" applyBorder="1"/>
    <xf numFmtId="44" fontId="0" fillId="0" borderId="2" xfId="1" applyFont="1" applyBorder="1"/>
    <xf numFmtId="44" fontId="0" fillId="0" borderId="3" xfId="1" applyFont="1" applyBorder="1"/>
    <xf numFmtId="0" fontId="0" fillId="0" borderId="3" xfId="0" applyBorder="1"/>
    <xf numFmtId="44" fontId="0" fillId="0" borderId="4" xfId="0" applyNumberForma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44" fontId="0" fillId="0" borderId="6" xfId="1" applyFont="1" applyBorder="1"/>
    <xf numFmtId="44" fontId="0" fillId="0" borderId="7" xfId="0" applyNumberFormat="1" applyBorder="1"/>
    <xf numFmtId="0" fontId="0" fillId="0" borderId="8" xfId="0" applyBorder="1"/>
    <xf numFmtId="0" fontId="0" fillId="0" borderId="9" xfId="0" applyBorder="1"/>
    <xf numFmtId="44" fontId="0" fillId="0" borderId="9" xfId="1" applyFont="1" applyBorder="1"/>
    <xf numFmtId="44" fontId="0" fillId="0" borderId="10" xfId="0" applyNumberFormat="1" applyBorder="1"/>
    <xf numFmtId="0" fontId="0" fillId="0" borderId="11" xfId="0" applyBorder="1"/>
    <xf numFmtId="44" fontId="0" fillId="0" borderId="11" xfId="1" applyFont="1" applyBorder="1"/>
    <xf numFmtId="164" fontId="0" fillId="0" borderId="11" xfId="0" applyNumberFormat="1" applyBorder="1"/>
    <xf numFmtId="44" fontId="0" fillId="0" borderId="1" xfId="1" applyFont="1" applyBorder="1"/>
    <xf numFmtId="0" fontId="0" fillId="0" borderId="12" xfId="0" applyBorder="1"/>
    <xf numFmtId="0" fontId="0" fillId="0" borderId="13" xfId="0" applyBorder="1"/>
    <xf numFmtId="44" fontId="0" fillId="0" borderId="4" xfId="1" applyFont="1" applyBorder="1"/>
    <xf numFmtId="44" fontId="0" fillId="0" borderId="7" xfId="1" applyFont="1" applyBorder="1"/>
    <xf numFmtId="44" fontId="0" fillId="0" borderId="10" xfId="1" applyFont="1" applyBorder="1"/>
    <xf numFmtId="0" fontId="0" fillId="0" borderId="14" xfId="0" applyBorder="1"/>
    <xf numFmtId="44" fontId="0" fillId="0" borderId="15" xfId="1" applyFont="1" applyBorder="1"/>
    <xf numFmtId="44" fontId="0" fillId="0" borderId="16" xfId="1" applyFont="1" applyBorder="1"/>
    <xf numFmtId="44" fontId="0" fillId="0" borderId="17" xfId="1" applyFont="1" applyBorder="1"/>
    <xf numFmtId="0" fontId="0" fillId="0" borderId="0" xfId="0" applyFill="1" applyBorder="1"/>
    <xf numFmtId="44" fontId="0" fillId="0" borderId="0" xfId="1" applyFont="1" applyFill="1" applyBorder="1"/>
    <xf numFmtId="44" fontId="0" fillId="0" borderId="11" xfId="1" applyFont="1" applyFill="1" applyBorder="1"/>
    <xf numFmtId="0" fontId="0" fillId="0" borderId="1" xfId="0" applyFill="1" applyBorder="1"/>
    <xf numFmtId="0" fontId="0" fillId="0" borderId="11" xfId="0" applyFill="1" applyBorder="1"/>
    <xf numFmtId="164" fontId="0" fillId="0" borderId="1" xfId="0" applyNumberFormat="1" applyBorder="1"/>
    <xf numFmtId="164" fontId="0" fillId="0" borderId="0" xfId="0" applyNumberFormat="1"/>
    <xf numFmtId="164" fontId="0" fillId="0" borderId="11" xfId="1" applyNumberFormat="1" applyFon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selection activeCell="G40" sqref="G40"/>
    </sheetView>
  </sheetViews>
  <sheetFormatPr baseColWidth="10" defaultRowHeight="15" x14ac:dyDescent="0.25"/>
  <cols>
    <col min="1" max="1" width="29.28515625" customWidth="1"/>
    <col min="7" max="8" width="12" bestFit="1" customWidth="1"/>
  </cols>
  <sheetData>
    <row r="1" spans="1:9" x14ac:dyDescent="0.25">
      <c r="A1" t="s">
        <v>52</v>
      </c>
      <c r="B1" s="1"/>
    </row>
    <row r="2" spans="1:9" ht="15.75" thickBot="1" x14ac:dyDescent="0.3">
      <c r="B2" s="1"/>
    </row>
    <row r="3" spans="1:9" x14ac:dyDescent="0.25">
      <c r="A3" s="3"/>
      <c r="B3" s="4" t="s">
        <v>12</v>
      </c>
      <c r="C3" s="8" t="s">
        <v>13</v>
      </c>
      <c r="D3" s="9" t="s">
        <v>14</v>
      </c>
      <c r="E3" s="8" t="s">
        <v>15</v>
      </c>
      <c r="F3" s="9" t="s">
        <v>16</v>
      </c>
      <c r="G3" s="8" t="s">
        <v>17</v>
      </c>
      <c r="H3" s="8" t="s">
        <v>18</v>
      </c>
      <c r="I3" s="13" t="s">
        <v>19</v>
      </c>
    </row>
    <row r="4" spans="1:9" x14ac:dyDescent="0.25">
      <c r="A4" s="3"/>
      <c r="B4" s="5"/>
      <c r="C4" s="6"/>
      <c r="D4" s="10"/>
      <c r="E4" s="6"/>
      <c r="F4" s="10"/>
      <c r="G4" s="6"/>
      <c r="H4" s="6"/>
      <c r="I4" s="14"/>
    </row>
    <row r="5" spans="1:9" x14ac:dyDescent="0.25">
      <c r="A5" s="3" t="s">
        <v>59</v>
      </c>
      <c r="B5" s="5">
        <v>1199.79</v>
      </c>
      <c r="C5" s="5">
        <v>1612.49</v>
      </c>
      <c r="D5" s="11">
        <v>8307.91</v>
      </c>
      <c r="E5" s="5">
        <v>5878.49</v>
      </c>
      <c r="F5" s="11">
        <v>5787.82</v>
      </c>
      <c r="G5" s="5">
        <v>5929.12</v>
      </c>
      <c r="H5" s="5">
        <v>9443.4599999999991</v>
      </c>
      <c r="I5" s="15">
        <v>9382.42</v>
      </c>
    </row>
    <row r="6" spans="1:9" x14ac:dyDescent="0.25">
      <c r="A6" s="3"/>
      <c r="B6" s="5"/>
      <c r="C6" s="5"/>
      <c r="D6" s="11"/>
      <c r="E6" s="5"/>
      <c r="F6" s="11"/>
      <c r="G6" s="5"/>
      <c r="H6" s="5"/>
      <c r="I6" s="15"/>
    </row>
    <row r="7" spans="1:9" x14ac:dyDescent="0.25">
      <c r="A7" s="3" t="s">
        <v>0</v>
      </c>
      <c r="B7" s="5">
        <v>360.18</v>
      </c>
      <c r="C7" s="5">
        <v>360.18</v>
      </c>
      <c r="D7" s="11">
        <v>363.79</v>
      </c>
      <c r="E7" s="5">
        <v>363.79</v>
      </c>
      <c r="F7" s="11">
        <v>363.79</v>
      </c>
      <c r="G7" s="5">
        <v>363.79</v>
      </c>
      <c r="H7" s="5">
        <v>363.79</v>
      </c>
      <c r="I7" s="15">
        <v>363.79</v>
      </c>
    </row>
    <row r="8" spans="1:9" x14ac:dyDescent="0.25">
      <c r="A8" s="3" t="s">
        <v>3</v>
      </c>
      <c r="B8" s="5">
        <v>14.96</v>
      </c>
      <c r="C8" s="5">
        <v>14.96</v>
      </c>
      <c r="D8" s="11">
        <v>14.96</v>
      </c>
      <c r="E8" s="5">
        <v>14.96</v>
      </c>
      <c r="F8" s="11">
        <v>14.96</v>
      </c>
      <c r="G8" s="5">
        <v>14.96</v>
      </c>
      <c r="H8" s="5">
        <v>14.96</v>
      </c>
      <c r="I8" s="15">
        <v>14.96</v>
      </c>
    </row>
    <row r="9" spans="1:9" x14ac:dyDescent="0.25">
      <c r="A9" s="3" t="s">
        <v>6</v>
      </c>
      <c r="B9" s="5">
        <v>1358.4</v>
      </c>
      <c r="C9" s="5">
        <v>1358.4</v>
      </c>
      <c r="D9" s="11">
        <v>1416.07</v>
      </c>
      <c r="E9" s="5">
        <v>1416.07</v>
      </c>
      <c r="F9" s="11">
        <v>1416.07</v>
      </c>
      <c r="G9" s="5">
        <v>1416.07</v>
      </c>
      <c r="H9" s="5">
        <v>1416.07</v>
      </c>
      <c r="I9" s="15">
        <v>1416.07</v>
      </c>
    </row>
    <row r="10" spans="1:9" x14ac:dyDescent="0.25">
      <c r="A10" s="3" t="s">
        <v>7</v>
      </c>
      <c r="B10" s="5">
        <v>106.55</v>
      </c>
      <c r="C10" s="5">
        <v>106.55</v>
      </c>
      <c r="D10" s="11">
        <v>111.07</v>
      </c>
      <c r="E10" s="5">
        <v>111.07</v>
      </c>
      <c r="F10" s="11">
        <v>111.07</v>
      </c>
      <c r="G10" s="5">
        <v>111.07</v>
      </c>
      <c r="H10" s="5">
        <v>111.07</v>
      </c>
      <c r="I10" s="15">
        <v>111.07</v>
      </c>
    </row>
    <row r="11" spans="1:9" x14ac:dyDescent="0.25">
      <c r="A11" s="3" t="s">
        <v>33</v>
      </c>
      <c r="B11" s="5"/>
      <c r="C11" s="5" t="s">
        <v>2</v>
      </c>
      <c r="D11" s="11">
        <v>100.68</v>
      </c>
      <c r="E11" s="5"/>
      <c r="F11" s="11" t="s">
        <v>2</v>
      </c>
      <c r="G11" s="5"/>
      <c r="H11" s="5"/>
      <c r="I11" s="15"/>
    </row>
    <row r="12" spans="1:9" x14ac:dyDescent="0.25">
      <c r="A12" s="3" t="s">
        <v>36</v>
      </c>
      <c r="B12" s="5"/>
      <c r="C12" s="5"/>
      <c r="D12" s="11"/>
      <c r="E12" s="5">
        <v>46.03</v>
      </c>
      <c r="F12" s="11"/>
      <c r="G12" s="5"/>
      <c r="H12" s="5"/>
      <c r="I12" s="15"/>
    </row>
    <row r="13" spans="1:9" x14ac:dyDescent="0.25">
      <c r="A13" s="3" t="s">
        <v>38</v>
      </c>
      <c r="B13" s="5"/>
      <c r="C13" s="5"/>
      <c r="D13" s="11"/>
      <c r="E13" s="5">
        <v>90</v>
      </c>
      <c r="F13" s="11"/>
      <c r="G13" s="5"/>
      <c r="H13" s="5"/>
      <c r="I13" s="15"/>
    </row>
    <row r="14" spans="1:9" x14ac:dyDescent="0.25">
      <c r="A14" s="3" t="s">
        <v>39</v>
      </c>
      <c r="B14" s="5"/>
      <c r="C14" s="5"/>
      <c r="D14" s="11"/>
      <c r="E14" s="5">
        <v>10.46</v>
      </c>
      <c r="F14" s="11"/>
      <c r="G14" s="5"/>
      <c r="H14" s="5"/>
      <c r="I14" s="15"/>
    </row>
    <row r="15" spans="1:9" x14ac:dyDescent="0.25">
      <c r="A15" s="3" t="s">
        <v>41</v>
      </c>
      <c r="B15" s="5"/>
      <c r="C15" s="5">
        <v>5700</v>
      </c>
      <c r="D15" s="11"/>
      <c r="E15" s="5"/>
      <c r="F15" s="11">
        <v>280.45999999999998</v>
      </c>
      <c r="G15" s="5"/>
      <c r="H15" s="5"/>
      <c r="I15" s="15"/>
    </row>
    <row r="16" spans="1:9" x14ac:dyDescent="0.25">
      <c r="A16" s="3" t="s">
        <v>43</v>
      </c>
      <c r="B16" s="5"/>
      <c r="C16" s="5"/>
      <c r="D16" s="11"/>
      <c r="E16" s="5"/>
      <c r="F16" s="11"/>
      <c r="G16" s="5"/>
      <c r="H16" s="5"/>
      <c r="I16" s="15"/>
    </row>
    <row r="17" spans="1:9" x14ac:dyDescent="0.25">
      <c r="A17" s="3" t="s">
        <v>44</v>
      </c>
      <c r="B17" s="5"/>
      <c r="C17" s="5"/>
      <c r="D17" s="11"/>
      <c r="E17" s="5"/>
      <c r="F17" s="11"/>
      <c r="G17" s="5">
        <v>52.5</v>
      </c>
      <c r="H17" s="5"/>
      <c r="I17" s="15"/>
    </row>
    <row r="18" spans="1:9" x14ac:dyDescent="0.25">
      <c r="A18" s="3" t="s">
        <v>46</v>
      </c>
      <c r="B18" s="5"/>
      <c r="C18" s="5"/>
      <c r="D18" s="11"/>
      <c r="E18" s="5"/>
      <c r="F18" s="11"/>
      <c r="G18" s="5">
        <v>3500</v>
      </c>
      <c r="H18" s="5" t="s">
        <v>2</v>
      </c>
      <c r="I18" s="15"/>
    </row>
    <row r="19" spans="1:9" x14ac:dyDescent="0.25">
      <c r="A19" s="3" t="s">
        <v>48</v>
      </c>
      <c r="B19" s="5"/>
      <c r="C19" s="5"/>
      <c r="D19" s="11"/>
      <c r="E19" s="5"/>
      <c r="F19" s="11"/>
      <c r="G19" s="5"/>
      <c r="H19" s="5">
        <v>25</v>
      </c>
      <c r="I19" s="15"/>
    </row>
    <row r="20" spans="1:9" x14ac:dyDescent="0.25">
      <c r="A20" s="3"/>
      <c r="B20" s="5"/>
      <c r="C20" s="5"/>
      <c r="D20" s="11"/>
      <c r="E20" s="5"/>
      <c r="F20" s="11"/>
      <c r="G20" s="5"/>
      <c r="H20" s="5"/>
      <c r="I20" s="15"/>
    </row>
    <row r="21" spans="1:9" x14ac:dyDescent="0.25">
      <c r="A21" s="3" t="s">
        <v>4</v>
      </c>
      <c r="B21" s="5"/>
      <c r="C21" s="5"/>
      <c r="D21" s="11"/>
      <c r="E21" s="5"/>
      <c r="F21" s="11"/>
      <c r="G21" s="5"/>
      <c r="H21" s="5"/>
      <c r="I21" s="15"/>
    </row>
    <row r="22" spans="1:9" x14ac:dyDescent="0.25">
      <c r="A22" s="3" t="s">
        <v>32</v>
      </c>
      <c r="B22" s="5"/>
      <c r="C22" s="5"/>
      <c r="D22" s="11">
        <v>-2778.5</v>
      </c>
      <c r="E22" s="5">
        <v>-1819.06</v>
      </c>
      <c r="F22" s="11">
        <v>-1739.6</v>
      </c>
      <c r="G22" s="5">
        <v>-1819.06</v>
      </c>
      <c r="H22" s="5">
        <v>-1828.1</v>
      </c>
      <c r="I22" s="15">
        <v>-1910.5119999999999</v>
      </c>
    </row>
    <row r="23" spans="1:9" x14ac:dyDescent="0.25">
      <c r="A23" s="3" t="s">
        <v>8</v>
      </c>
      <c r="B23" s="5">
        <v>-9</v>
      </c>
      <c r="C23" s="5">
        <v>-3</v>
      </c>
      <c r="D23" s="11">
        <v>-4</v>
      </c>
      <c r="E23" s="5">
        <v>-4</v>
      </c>
      <c r="F23" s="11">
        <v>-4</v>
      </c>
      <c r="G23" s="5">
        <v>-4</v>
      </c>
      <c r="H23" s="5">
        <v>-4</v>
      </c>
      <c r="I23" s="15">
        <v>-4</v>
      </c>
    </row>
    <row r="24" spans="1:9" x14ac:dyDescent="0.25">
      <c r="A24" s="3" t="s">
        <v>5</v>
      </c>
      <c r="B24" s="5">
        <v>-20.99</v>
      </c>
      <c r="C24" s="5">
        <v>-20.99</v>
      </c>
      <c r="D24" s="11">
        <v>-20.99</v>
      </c>
      <c r="E24" s="5">
        <v>-20.99</v>
      </c>
      <c r="F24" s="11">
        <v>-20.99</v>
      </c>
      <c r="G24" s="5">
        <v>-20.99</v>
      </c>
      <c r="H24" s="5">
        <v>-20.99</v>
      </c>
      <c r="I24" s="15">
        <v>-20.99</v>
      </c>
    </row>
    <row r="25" spans="1:9" x14ac:dyDescent="0.25">
      <c r="A25" s="3" t="s">
        <v>34</v>
      </c>
      <c r="B25" s="6"/>
      <c r="C25" s="6"/>
      <c r="D25" s="11">
        <v>-350</v>
      </c>
      <c r="E25" s="5"/>
      <c r="F25" s="11"/>
      <c r="G25" s="5">
        <v>-100</v>
      </c>
      <c r="H25" s="5" t="s">
        <v>2</v>
      </c>
      <c r="I25" s="15"/>
    </row>
    <row r="26" spans="1:9" x14ac:dyDescent="0.25">
      <c r="A26" s="3" t="s">
        <v>9</v>
      </c>
      <c r="B26" s="5">
        <v>-250</v>
      </c>
      <c r="C26" s="5">
        <v>-250</v>
      </c>
      <c r="D26" s="11"/>
      <c r="E26" s="5"/>
      <c r="F26" s="11"/>
      <c r="G26" s="5"/>
      <c r="H26" s="5"/>
      <c r="I26" s="15"/>
    </row>
    <row r="27" spans="1:9" x14ac:dyDescent="0.25">
      <c r="A27" s="3" t="s">
        <v>10</v>
      </c>
      <c r="B27" s="5">
        <v>-400</v>
      </c>
      <c r="C27" s="5">
        <v>-400</v>
      </c>
      <c r="D27" s="11"/>
      <c r="E27" s="5"/>
      <c r="F27" s="11"/>
      <c r="G27" s="5"/>
      <c r="H27" s="5"/>
      <c r="I27" s="15"/>
    </row>
    <row r="28" spans="1:9" x14ac:dyDescent="0.25">
      <c r="A28" s="3" t="s">
        <v>11</v>
      </c>
      <c r="B28" s="5">
        <v>-16.510000000000002</v>
      </c>
      <c r="C28" s="5">
        <v>-16.510000000000002</v>
      </c>
      <c r="D28" s="11">
        <v>-16.510000000000002</v>
      </c>
      <c r="E28" s="5">
        <v>-16.510000000000002</v>
      </c>
      <c r="F28" s="11"/>
      <c r="G28" s="5"/>
      <c r="H28" s="5"/>
      <c r="I28" s="15"/>
    </row>
    <row r="29" spans="1:9" x14ac:dyDescent="0.25">
      <c r="A29" s="3" t="s">
        <v>20</v>
      </c>
      <c r="B29" s="5">
        <v>-5</v>
      </c>
      <c r="C29" s="5">
        <v>-5</v>
      </c>
      <c r="D29" s="11"/>
      <c r="E29" s="5"/>
      <c r="F29" s="11"/>
      <c r="G29" s="5"/>
      <c r="H29" s="5"/>
      <c r="I29" s="15"/>
    </row>
    <row r="30" spans="1:9" x14ac:dyDescent="0.25">
      <c r="A30" s="3" t="s">
        <v>21</v>
      </c>
      <c r="B30" s="5">
        <v>-9.75</v>
      </c>
      <c r="C30" s="5"/>
      <c r="D30" s="11"/>
      <c r="E30" s="5"/>
      <c r="F30" s="11"/>
      <c r="G30" s="5"/>
      <c r="H30" s="5"/>
      <c r="I30" s="15"/>
    </row>
    <row r="31" spans="1:9" x14ac:dyDescent="0.25">
      <c r="A31" s="3" t="s">
        <v>22</v>
      </c>
      <c r="B31" s="5">
        <v>-72</v>
      </c>
      <c r="C31" s="5">
        <v>-92.37</v>
      </c>
      <c r="D31" s="11"/>
      <c r="E31" s="5"/>
      <c r="F31" s="11"/>
      <c r="G31" s="5"/>
      <c r="H31" s="5"/>
      <c r="I31" s="15"/>
    </row>
    <row r="32" spans="1:9" x14ac:dyDescent="0.25">
      <c r="A32" s="3" t="s">
        <v>22</v>
      </c>
      <c r="B32" s="5">
        <v>-148</v>
      </c>
      <c r="C32" s="5"/>
      <c r="D32" s="11">
        <v>-294.66000000000003</v>
      </c>
      <c r="E32" s="5"/>
      <c r="F32" s="11"/>
      <c r="G32" s="5"/>
      <c r="H32" s="5"/>
      <c r="I32" s="15"/>
    </row>
    <row r="33" spans="1:9" x14ac:dyDescent="0.25">
      <c r="A33" s="3" t="s">
        <v>23</v>
      </c>
      <c r="B33" s="5">
        <v>-52.5</v>
      </c>
      <c r="C33" s="5"/>
      <c r="D33" s="11"/>
      <c r="E33" s="5">
        <v>-52.5</v>
      </c>
      <c r="F33" s="11"/>
      <c r="G33" s="5" t="s">
        <v>2</v>
      </c>
      <c r="H33" s="5" t="s">
        <v>2</v>
      </c>
      <c r="I33" s="15"/>
    </row>
    <row r="34" spans="1:9" x14ac:dyDescent="0.25">
      <c r="A34" s="3" t="s">
        <v>29</v>
      </c>
      <c r="B34" s="5">
        <v>-17.899999999999999</v>
      </c>
      <c r="C34" s="5">
        <v>-17.899999999999999</v>
      </c>
      <c r="D34" s="11"/>
      <c r="E34" s="5"/>
      <c r="F34" s="11"/>
      <c r="G34" s="5"/>
      <c r="H34" s="5"/>
      <c r="I34" s="15"/>
    </row>
    <row r="35" spans="1:9" x14ac:dyDescent="0.25">
      <c r="A35" s="3" t="s">
        <v>24</v>
      </c>
      <c r="B35" s="5">
        <v>-28.13</v>
      </c>
      <c r="C35" s="5"/>
      <c r="D35" s="11"/>
      <c r="E35" s="5"/>
      <c r="F35" s="11"/>
      <c r="G35" s="5"/>
      <c r="H35" s="5"/>
      <c r="I35" s="15"/>
    </row>
    <row r="36" spans="1:9" x14ac:dyDescent="0.25">
      <c r="A36" s="3" t="s">
        <v>25</v>
      </c>
      <c r="B36" s="5">
        <v>-25</v>
      </c>
      <c r="C36" s="5"/>
      <c r="D36" s="11"/>
      <c r="E36" s="5"/>
      <c r="F36" s="11"/>
      <c r="G36" s="5"/>
      <c r="H36" s="5"/>
      <c r="I36" s="15"/>
    </row>
    <row r="37" spans="1:9" x14ac:dyDescent="0.25">
      <c r="A37" s="3" t="s">
        <v>26</v>
      </c>
      <c r="B37" s="5">
        <v>-252.61</v>
      </c>
      <c r="C37" s="5"/>
      <c r="D37" s="11"/>
      <c r="E37" s="5"/>
      <c r="F37" s="11"/>
      <c r="G37" s="5"/>
      <c r="H37" s="5"/>
      <c r="I37" s="15"/>
    </row>
    <row r="38" spans="1:9" x14ac:dyDescent="0.25">
      <c r="A38" s="3" t="s">
        <v>27</v>
      </c>
      <c r="B38" s="5">
        <v>-120</v>
      </c>
      <c r="C38" s="5"/>
      <c r="D38" s="11"/>
      <c r="E38" s="5"/>
      <c r="F38" s="11"/>
      <c r="G38" s="5"/>
      <c r="H38" s="5"/>
      <c r="I38" s="15"/>
    </row>
    <row r="39" spans="1:9" x14ac:dyDescent="0.25">
      <c r="A39" s="3" t="s">
        <v>28</v>
      </c>
      <c r="B39" s="5"/>
      <c r="C39" s="5">
        <v>-38.9</v>
      </c>
      <c r="D39" s="11"/>
      <c r="E39" s="5"/>
      <c r="F39" s="11"/>
      <c r="G39" s="5"/>
      <c r="H39" s="5"/>
      <c r="I39" s="15"/>
    </row>
    <row r="40" spans="1:9" x14ac:dyDescent="0.25">
      <c r="A40" s="3" t="s">
        <v>31</v>
      </c>
      <c r="B40" s="5"/>
      <c r="C40" s="5"/>
      <c r="D40" s="11">
        <v>-190.66</v>
      </c>
      <c r="E40" s="5"/>
      <c r="F40" s="11"/>
      <c r="G40" s="5"/>
      <c r="H40" s="5"/>
      <c r="I40" s="15"/>
    </row>
    <row r="41" spans="1:9" x14ac:dyDescent="0.25">
      <c r="A41" s="3" t="s">
        <v>35</v>
      </c>
      <c r="B41" s="5"/>
      <c r="C41" s="5"/>
      <c r="D41" s="11">
        <v>-160.94999999999999</v>
      </c>
      <c r="E41" s="5"/>
      <c r="F41" s="11"/>
      <c r="G41" s="5"/>
      <c r="H41" s="5"/>
      <c r="I41" s="15"/>
    </row>
    <row r="42" spans="1:9" x14ac:dyDescent="0.25">
      <c r="A42" s="3" t="s">
        <v>32</v>
      </c>
      <c r="B42" s="5"/>
      <c r="C42" s="5"/>
      <c r="D42" s="11">
        <v>-619.74</v>
      </c>
      <c r="E42" s="5"/>
      <c r="F42" s="11"/>
      <c r="G42" s="5"/>
      <c r="H42" s="5"/>
      <c r="I42" s="15"/>
    </row>
    <row r="43" spans="1:9" x14ac:dyDescent="0.25">
      <c r="A43" s="3" t="s">
        <v>37</v>
      </c>
      <c r="B43" s="5"/>
      <c r="C43" s="5"/>
      <c r="D43" s="11" t="s">
        <v>2</v>
      </c>
      <c r="E43" s="5">
        <v>-10</v>
      </c>
      <c r="F43" s="11"/>
      <c r="G43" s="5"/>
      <c r="H43" s="5"/>
      <c r="I43" s="15"/>
    </row>
    <row r="44" spans="1:9" x14ac:dyDescent="0.25">
      <c r="A44" s="3" t="s">
        <v>40</v>
      </c>
      <c r="B44" s="5"/>
      <c r="C44" s="5"/>
      <c r="D44" s="11"/>
      <c r="E44" s="5">
        <v>-219.99</v>
      </c>
      <c r="F44" s="11"/>
      <c r="G44" s="5"/>
      <c r="H44" s="5"/>
      <c r="I44" s="15"/>
    </row>
    <row r="45" spans="1:9" x14ac:dyDescent="0.25">
      <c r="A45" s="3" t="s">
        <v>42</v>
      </c>
      <c r="B45" s="5"/>
      <c r="C45" s="5"/>
      <c r="D45" s="11"/>
      <c r="E45" s="5" t="s">
        <v>2</v>
      </c>
      <c r="F45" s="11">
        <v>-280.45999999999998</v>
      </c>
      <c r="G45" s="5"/>
      <c r="H45" s="5"/>
      <c r="I45" s="15"/>
    </row>
    <row r="46" spans="1:9" x14ac:dyDescent="0.25">
      <c r="A46" s="3" t="s">
        <v>47</v>
      </c>
      <c r="B46" s="5"/>
      <c r="C46" s="5"/>
      <c r="D46" s="11"/>
      <c r="E46" s="5"/>
      <c r="F46" s="11"/>
      <c r="G46" s="5"/>
      <c r="H46" s="5">
        <v>-138.84</v>
      </c>
      <c r="I46" s="15"/>
    </row>
    <row r="47" spans="1:9" x14ac:dyDescent="0.25">
      <c r="A47" s="3" t="s">
        <v>49</v>
      </c>
      <c r="B47" s="5"/>
      <c r="C47" s="5"/>
      <c r="D47" s="11"/>
      <c r="E47" s="5"/>
      <c r="F47" s="11"/>
      <c r="G47" s="5"/>
      <c r="H47" s="5" t="s">
        <v>2</v>
      </c>
      <c r="I47" s="15">
        <v>-124.89</v>
      </c>
    </row>
    <row r="48" spans="1:9" x14ac:dyDescent="0.25">
      <c r="A48" s="3" t="s">
        <v>50</v>
      </c>
      <c r="B48" s="5"/>
      <c r="C48" s="5"/>
      <c r="D48" s="11"/>
      <c r="E48" s="5"/>
      <c r="F48" s="11"/>
      <c r="G48" s="5"/>
      <c r="H48" s="5"/>
      <c r="I48" s="15">
        <v>-292.55</v>
      </c>
    </row>
    <row r="49" spans="1:9" x14ac:dyDescent="0.25">
      <c r="A49" s="3" t="s">
        <v>51</v>
      </c>
      <c r="B49" s="5"/>
      <c r="C49" s="5"/>
      <c r="D49" s="11"/>
      <c r="E49" s="5"/>
      <c r="F49" s="11"/>
      <c r="G49" s="5"/>
      <c r="H49" s="5"/>
      <c r="I49" s="15">
        <v>-5.12</v>
      </c>
    </row>
    <row r="50" spans="1:9" x14ac:dyDescent="0.25">
      <c r="A50" s="3"/>
      <c r="B50" s="5"/>
      <c r="C50" s="5"/>
      <c r="D50" s="11"/>
      <c r="E50" s="5"/>
      <c r="F50" s="11"/>
      <c r="G50" s="5"/>
      <c r="H50" s="5"/>
      <c r="I50" s="15"/>
    </row>
    <row r="51" spans="1:9" x14ac:dyDescent="0.25">
      <c r="A51" s="3" t="s">
        <v>2</v>
      </c>
      <c r="B51" s="6"/>
      <c r="C51" s="6"/>
      <c r="D51" s="10"/>
      <c r="E51" s="6"/>
      <c r="F51" s="10"/>
      <c r="G51" s="6"/>
      <c r="H51" s="6"/>
      <c r="I51" s="15"/>
    </row>
    <row r="52" spans="1:9" x14ac:dyDescent="0.25">
      <c r="A52" s="3"/>
      <c r="B52" s="5"/>
      <c r="C52" s="5" t="s">
        <v>2</v>
      </c>
      <c r="D52" s="11"/>
      <c r="E52" s="5"/>
      <c r="F52" s="11"/>
      <c r="G52" s="5"/>
      <c r="H52" s="5"/>
      <c r="I52" s="15"/>
    </row>
    <row r="53" spans="1:9" x14ac:dyDescent="0.25">
      <c r="A53" s="3"/>
      <c r="B53" s="5">
        <f>SUM(B1:B38)</f>
        <v>1612.4899999999998</v>
      </c>
      <c r="C53" s="5">
        <f t="shared" ref="C53:I53" si="0">SUM(C5:C52)</f>
        <v>8307.91</v>
      </c>
      <c r="D53" s="11">
        <f t="shared" si="0"/>
        <v>5878.47</v>
      </c>
      <c r="E53" s="5">
        <f t="shared" si="0"/>
        <v>5787.82</v>
      </c>
      <c r="F53" s="11">
        <f t="shared" si="0"/>
        <v>5929.12</v>
      </c>
      <c r="G53" s="5">
        <f t="shared" si="0"/>
        <v>9443.4599999999991</v>
      </c>
      <c r="H53" s="5">
        <f t="shared" si="0"/>
        <v>9382.4199999999983</v>
      </c>
      <c r="I53" s="15">
        <f t="shared" si="0"/>
        <v>8930.2479999999996</v>
      </c>
    </row>
    <row r="54" spans="1:9" x14ac:dyDescent="0.25">
      <c r="A54" s="3" t="s">
        <v>30</v>
      </c>
      <c r="B54" s="5" t="s">
        <v>2</v>
      </c>
      <c r="C54" s="5">
        <v>-5700</v>
      </c>
      <c r="D54" s="11">
        <v>-5700</v>
      </c>
      <c r="E54" s="5">
        <v>-5700</v>
      </c>
      <c r="F54" s="11">
        <v>-5700</v>
      </c>
      <c r="G54" s="5">
        <v>-5700</v>
      </c>
      <c r="H54" s="5">
        <v>-5700</v>
      </c>
      <c r="I54" s="15">
        <v>-5700</v>
      </c>
    </row>
    <row r="55" spans="1:9" x14ac:dyDescent="0.25">
      <c r="A55" s="3" t="s">
        <v>45</v>
      </c>
      <c r="B55" s="5" t="s">
        <v>2</v>
      </c>
      <c r="C55" s="5"/>
      <c r="D55" s="11"/>
      <c r="E55" s="5"/>
      <c r="F55" s="11"/>
      <c r="G55" s="5">
        <v>-3500</v>
      </c>
      <c r="H55" s="5">
        <v>-3500</v>
      </c>
      <c r="I55" s="15">
        <v>-3500</v>
      </c>
    </row>
    <row r="56" spans="1:9" ht="15.75" thickBot="1" x14ac:dyDescent="0.3">
      <c r="A56" s="3"/>
      <c r="B56" s="7">
        <f>SUM(B53)</f>
        <v>1612.4899999999998</v>
      </c>
      <c r="C56" s="7">
        <f t="shared" ref="C56:I56" si="1">SUM(C53:C55)</f>
        <v>2607.91</v>
      </c>
      <c r="D56" s="12">
        <f t="shared" si="1"/>
        <v>178.47000000000025</v>
      </c>
      <c r="E56" s="7">
        <f t="shared" si="1"/>
        <v>87.819999999999709</v>
      </c>
      <c r="F56" s="12">
        <f t="shared" si="1"/>
        <v>229.11999999999989</v>
      </c>
      <c r="G56" s="7">
        <f t="shared" si="1"/>
        <v>243.45999999999913</v>
      </c>
      <c r="H56" s="7">
        <f t="shared" si="1"/>
        <v>182.41999999999825</v>
      </c>
      <c r="I56" s="16">
        <f t="shared" si="1"/>
        <v>-269.75200000000041</v>
      </c>
    </row>
    <row r="59" spans="1:9" x14ac:dyDescent="0.25">
      <c r="B59" s="1"/>
    </row>
    <row r="61" spans="1:9" x14ac:dyDescent="0.25">
      <c r="A61" t="s">
        <v>2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selection activeCell="K5" sqref="K5"/>
    </sheetView>
  </sheetViews>
  <sheetFormatPr baseColWidth="10" defaultRowHeight="15" x14ac:dyDescent="0.25"/>
  <cols>
    <col min="1" max="1" width="51.42578125" bestFit="1" customWidth="1"/>
  </cols>
  <sheetData>
    <row r="1" spans="1:9" x14ac:dyDescent="0.25">
      <c r="A1" t="s">
        <v>94</v>
      </c>
      <c r="B1" s="1"/>
    </row>
    <row r="2" spans="1:9" ht="15.75" thickBot="1" x14ac:dyDescent="0.3">
      <c r="B2" s="1"/>
    </row>
    <row r="3" spans="1:9" x14ac:dyDescent="0.25">
      <c r="A3" s="3"/>
      <c r="B3" s="4" t="s">
        <v>12</v>
      </c>
      <c r="C3" s="8" t="s">
        <v>13</v>
      </c>
      <c r="D3" s="9" t="s">
        <v>14</v>
      </c>
      <c r="E3" s="8" t="s">
        <v>15</v>
      </c>
      <c r="F3" s="9" t="s">
        <v>16</v>
      </c>
      <c r="G3" s="8" t="s">
        <v>17</v>
      </c>
      <c r="H3" s="8" t="s">
        <v>18</v>
      </c>
      <c r="I3" s="13" t="s">
        <v>19</v>
      </c>
    </row>
    <row r="4" spans="1:9" x14ac:dyDescent="0.25">
      <c r="A4" s="3"/>
      <c r="B4" s="5"/>
      <c r="C4" s="6"/>
      <c r="D4" s="10"/>
      <c r="E4" s="6"/>
      <c r="F4" s="10"/>
      <c r="G4" s="6"/>
      <c r="H4" s="6"/>
      <c r="I4" s="14"/>
    </row>
    <row r="5" spans="1:9" x14ac:dyDescent="0.25">
      <c r="A5" s="3" t="s">
        <v>59</v>
      </c>
      <c r="B5" s="5">
        <v>1800.99</v>
      </c>
      <c r="C5" s="5">
        <v>2014.66</v>
      </c>
      <c r="D5" s="11">
        <v>2610.84</v>
      </c>
      <c r="E5" s="5">
        <v>3016.34</v>
      </c>
      <c r="F5" s="11">
        <v>2523.1799999999998</v>
      </c>
      <c r="G5" s="5">
        <v>2518.5</v>
      </c>
      <c r="H5" s="5">
        <v>2734.5</v>
      </c>
      <c r="I5" s="15">
        <v>2580.34</v>
      </c>
    </row>
    <row r="6" spans="1:9" x14ac:dyDescent="0.25">
      <c r="A6" s="3"/>
      <c r="B6" s="5"/>
      <c r="C6" s="5"/>
      <c r="D6" s="11"/>
      <c r="E6" s="5"/>
      <c r="F6" s="11"/>
      <c r="G6" s="5"/>
      <c r="H6" s="5"/>
      <c r="I6" s="15"/>
    </row>
    <row r="7" spans="1:9" x14ac:dyDescent="0.25">
      <c r="A7" s="3" t="s">
        <v>63</v>
      </c>
      <c r="B7" s="5">
        <v>400</v>
      </c>
      <c r="C7" s="5">
        <v>400</v>
      </c>
      <c r="D7" s="11"/>
      <c r="E7" s="5"/>
      <c r="F7" s="11"/>
      <c r="G7" s="5"/>
      <c r="H7" s="5"/>
      <c r="I7" s="15"/>
    </row>
    <row r="8" spans="1:9" x14ac:dyDescent="0.25">
      <c r="A8" s="3" t="s">
        <v>64</v>
      </c>
      <c r="B8" s="5">
        <v>310</v>
      </c>
      <c r="C8" s="5">
        <v>310</v>
      </c>
      <c r="D8" s="11">
        <v>310</v>
      </c>
      <c r="E8" s="5">
        <v>310</v>
      </c>
      <c r="F8" s="11">
        <v>310</v>
      </c>
      <c r="G8" s="5">
        <v>310</v>
      </c>
      <c r="H8" s="5">
        <v>310</v>
      </c>
      <c r="I8" s="15">
        <v>310</v>
      </c>
    </row>
    <row r="9" spans="1:9" x14ac:dyDescent="0.25">
      <c r="A9" s="3" t="s">
        <v>65</v>
      </c>
      <c r="B9" s="5">
        <v>600</v>
      </c>
      <c r="C9" s="5">
        <v>600</v>
      </c>
      <c r="D9" s="11">
        <v>600</v>
      </c>
      <c r="E9" s="5">
        <v>600</v>
      </c>
      <c r="F9" s="11">
        <v>600</v>
      </c>
      <c r="G9" s="5">
        <v>600</v>
      </c>
      <c r="H9" s="5">
        <v>600</v>
      </c>
      <c r="I9" s="15">
        <v>600</v>
      </c>
    </row>
    <row r="10" spans="1:9" x14ac:dyDescent="0.25">
      <c r="A10" s="3" t="s">
        <v>38</v>
      </c>
      <c r="B10" s="5" t="s">
        <v>2</v>
      </c>
      <c r="C10" s="5"/>
      <c r="D10" s="11">
        <v>89.5</v>
      </c>
      <c r="E10" s="5"/>
      <c r="F10" s="11"/>
      <c r="G10" s="5"/>
      <c r="H10" s="5"/>
      <c r="I10" s="15"/>
    </row>
    <row r="11" spans="1:9" x14ac:dyDescent="0.25">
      <c r="A11" s="3" t="s">
        <v>79</v>
      </c>
      <c r="B11" s="5"/>
      <c r="C11" s="5"/>
      <c r="D11" s="11"/>
      <c r="E11" s="5"/>
      <c r="F11" s="11"/>
      <c r="G11" s="5"/>
      <c r="H11" s="5"/>
      <c r="I11" s="15">
        <v>200</v>
      </c>
    </row>
    <row r="12" spans="1:9" ht="15.75" thickBot="1" x14ac:dyDescent="0.3">
      <c r="A12" s="22"/>
      <c r="B12" s="23"/>
      <c r="C12" s="23"/>
      <c r="D12" s="24"/>
      <c r="E12" s="23"/>
      <c r="F12" s="24"/>
      <c r="G12" s="23"/>
      <c r="H12" s="23"/>
      <c r="I12" s="25"/>
    </row>
    <row r="13" spans="1:9" x14ac:dyDescent="0.25">
      <c r="A13" s="26" t="s">
        <v>66</v>
      </c>
      <c r="B13" s="27">
        <v>-300</v>
      </c>
      <c r="C13" s="27">
        <v>-300</v>
      </c>
      <c r="D13" s="28">
        <v>-300</v>
      </c>
      <c r="E13" s="27">
        <v>-300</v>
      </c>
      <c r="F13" s="28">
        <v>-300</v>
      </c>
      <c r="G13" s="27">
        <v>-300</v>
      </c>
      <c r="H13" s="27">
        <v>-300</v>
      </c>
      <c r="I13" s="29">
        <v>-300</v>
      </c>
    </row>
    <row r="14" spans="1:9" x14ac:dyDescent="0.25">
      <c r="A14" s="3" t="s">
        <v>67</v>
      </c>
      <c r="B14" s="5">
        <v>-290</v>
      </c>
      <c r="C14" s="5">
        <v>-290</v>
      </c>
      <c r="D14" s="11">
        <v>-290</v>
      </c>
      <c r="E14" s="5">
        <v>-290</v>
      </c>
      <c r="F14" s="11">
        <v>-290</v>
      </c>
      <c r="G14" s="5">
        <v>-290</v>
      </c>
      <c r="H14" s="5">
        <v>-290</v>
      </c>
      <c r="I14" s="15">
        <v>-290</v>
      </c>
    </row>
    <row r="15" spans="1:9" x14ac:dyDescent="0.25">
      <c r="A15" s="3" t="s">
        <v>68</v>
      </c>
      <c r="B15" s="5">
        <v>-3</v>
      </c>
      <c r="C15" s="5">
        <v>-4</v>
      </c>
      <c r="D15" s="11">
        <v>-4</v>
      </c>
      <c r="E15" s="5">
        <v>-4</v>
      </c>
      <c r="F15" s="11">
        <v>-4</v>
      </c>
      <c r="G15" s="5">
        <v>-4</v>
      </c>
      <c r="H15" s="5">
        <v>-4</v>
      </c>
      <c r="I15" s="15">
        <v>-4</v>
      </c>
    </row>
    <row r="16" spans="1:9" x14ac:dyDescent="0.25">
      <c r="A16" s="3" t="s">
        <v>69</v>
      </c>
      <c r="B16" s="5" t="s">
        <v>2</v>
      </c>
      <c r="C16" s="5"/>
      <c r="D16" s="11"/>
      <c r="E16" s="5"/>
      <c r="F16" s="11"/>
      <c r="G16" s="5"/>
      <c r="H16" s="5"/>
      <c r="I16" s="15"/>
    </row>
    <row r="17" spans="1:9" x14ac:dyDescent="0.25">
      <c r="A17" s="3" t="s">
        <v>70</v>
      </c>
      <c r="B17" s="5">
        <v>-113</v>
      </c>
      <c r="C17" s="5"/>
      <c r="D17" s="11"/>
      <c r="E17" s="5">
        <v>-113</v>
      </c>
      <c r="F17" s="11"/>
      <c r="G17" s="5"/>
      <c r="H17" s="5">
        <v>-113</v>
      </c>
      <c r="I17" s="15"/>
    </row>
    <row r="18" spans="1:9" x14ac:dyDescent="0.25">
      <c r="A18" s="3" t="s">
        <v>70</v>
      </c>
      <c r="B18" s="5">
        <v>-140.16</v>
      </c>
      <c r="C18" s="5"/>
      <c r="D18" s="11"/>
      <c r="E18" s="5">
        <v>-140.16</v>
      </c>
      <c r="F18" s="11"/>
      <c r="G18" s="5"/>
      <c r="H18" s="5">
        <v>-140.16</v>
      </c>
      <c r="I18" s="15"/>
    </row>
    <row r="19" spans="1:9" x14ac:dyDescent="0.25">
      <c r="A19" s="3" t="s">
        <v>70</v>
      </c>
      <c r="B19" s="5">
        <v>-217</v>
      </c>
      <c r="C19" s="5"/>
      <c r="D19" s="11"/>
      <c r="E19" s="5">
        <v>-217</v>
      </c>
      <c r="F19" s="11"/>
      <c r="G19" s="5"/>
      <c r="H19" s="5">
        <v>-217</v>
      </c>
      <c r="I19" s="15"/>
    </row>
    <row r="20" spans="1:9" x14ac:dyDescent="0.25">
      <c r="A20" s="3" t="s">
        <v>71</v>
      </c>
      <c r="B20" s="5">
        <v>-33.17</v>
      </c>
      <c r="C20" s="5">
        <v>-30.32</v>
      </c>
      <c r="D20" s="11"/>
      <c r="E20" s="5"/>
      <c r="F20" s="11"/>
      <c r="G20" s="5"/>
      <c r="H20" s="5"/>
      <c r="I20" s="15"/>
    </row>
    <row r="21" spans="1:9" x14ac:dyDescent="0.25">
      <c r="A21" s="3" t="s">
        <v>72</v>
      </c>
      <c r="B21" s="6"/>
      <c r="C21" s="5">
        <v>-89.5</v>
      </c>
      <c r="D21" s="11"/>
      <c r="E21" s="5"/>
      <c r="F21" s="11"/>
      <c r="G21" s="5"/>
      <c r="H21" s="5"/>
      <c r="I21" s="15"/>
    </row>
    <row r="22" spans="1:9" x14ac:dyDescent="0.25">
      <c r="A22" s="3" t="s">
        <v>73</v>
      </c>
      <c r="B22" s="5"/>
      <c r="C22" s="5"/>
      <c r="D22" s="11"/>
      <c r="E22" s="5">
        <v>-249</v>
      </c>
      <c r="F22" s="11"/>
      <c r="G22" s="5"/>
      <c r="H22" s="5"/>
      <c r="I22" s="15"/>
    </row>
    <row r="23" spans="1:9" x14ac:dyDescent="0.25">
      <c r="A23" s="3" t="s">
        <v>74</v>
      </c>
      <c r="B23" s="5"/>
      <c r="C23" s="5"/>
      <c r="D23" s="11"/>
      <c r="E23" s="5">
        <v>-90</v>
      </c>
      <c r="F23" s="11"/>
      <c r="G23" s="5"/>
      <c r="H23" s="5"/>
      <c r="I23" s="15"/>
    </row>
    <row r="24" spans="1:9" x14ac:dyDescent="0.25">
      <c r="A24" s="3" t="s">
        <v>75</v>
      </c>
      <c r="B24" s="5"/>
      <c r="C24" s="5"/>
      <c r="D24" s="11"/>
      <c r="E24" s="5"/>
      <c r="F24" s="11">
        <v>-280.45999999999998</v>
      </c>
      <c r="G24" s="5"/>
      <c r="H24" s="5"/>
      <c r="I24" s="15"/>
    </row>
    <row r="25" spans="1:9" x14ac:dyDescent="0.25">
      <c r="A25" s="3" t="s">
        <v>76</v>
      </c>
      <c r="B25" s="5"/>
      <c r="C25" s="5"/>
      <c r="D25" s="11"/>
      <c r="E25" s="5"/>
      <c r="F25" s="11">
        <v>-40.22</v>
      </c>
      <c r="G25" s="5"/>
      <c r="H25" s="5"/>
      <c r="I25" s="15">
        <v>-40.22</v>
      </c>
    </row>
    <row r="26" spans="1:9" x14ac:dyDescent="0.25">
      <c r="A26" s="3" t="s">
        <v>34</v>
      </c>
      <c r="B26" s="5"/>
      <c r="C26" s="5"/>
      <c r="D26" s="11"/>
      <c r="E26" s="5"/>
      <c r="F26" s="11"/>
      <c r="G26" s="5">
        <v>-100</v>
      </c>
      <c r="H26" s="5"/>
      <c r="I26" s="15"/>
    </row>
    <row r="27" spans="1:9" x14ac:dyDescent="0.25">
      <c r="A27" s="3" t="s">
        <v>77</v>
      </c>
      <c r="B27" s="5"/>
      <c r="C27" s="5"/>
      <c r="D27" s="11"/>
      <c r="E27" s="5"/>
      <c r="F27" s="11"/>
      <c r="G27" s="5"/>
      <c r="H27" s="5"/>
      <c r="I27" s="15">
        <v>-91.65</v>
      </c>
    </row>
    <row r="28" spans="1:9" x14ac:dyDescent="0.25">
      <c r="A28" s="3" t="s">
        <v>78</v>
      </c>
      <c r="B28" s="5"/>
      <c r="C28" s="5"/>
      <c r="D28" s="11"/>
      <c r="E28" s="5"/>
      <c r="F28" s="11"/>
      <c r="G28" s="5"/>
      <c r="H28" s="5"/>
      <c r="I28" s="15">
        <v>-600</v>
      </c>
    </row>
    <row r="29" spans="1:9" x14ac:dyDescent="0.25">
      <c r="A29" s="3" t="s">
        <v>80</v>
      </c>
      <c r="B29" s="5"/>
      <c r="C29" s="5"/>
      <c r="D29" s="11"/>
      <c r="E29" s="5"/>
      <c r="F29" s="11"/>
      <c r="G29" s="5"/>
      <c r="H29" s="5"/>
      <c r="I29" s="15">
        <v>-63.9</v>
      </c>
    </row>
    <row r="30" spans="1:9" x14ac:dyDescent="0.25">
      <c r="A30" s="3" t="s">
        <v>81</v>
      </c>
      <c r="B30" s="5"/>
      <c r="C30" s="5"/>
      <c r="D30" s="11"/>
      <c r="E30" s="5"/>
      <c r="F30" s="11"/>
      <c r="G30" s="5"/>
      <c r="H30" s="5"/>
      <c r="I30" s="15">
        <v>-124.95</v>
      </c>
    </row>
    <row r="31" spans="1:9" x14ac:dyDescent="0.25">
      <c r="A31" s="3" t="s">
        <v>82</v>
      </c>
      <c r="B31" s="5"/>
      <c r="C31" s="5"/>
      <c r="D31" s="11"/>
      <c r="E31" s="5"/>
      <c r="F31" s="11"/>
      <c r="G31" s="5"/>
      <c r="H31" s="5"/>
      <c r="I31" s="15">
        <v>-202.98</v>
      </c>
    </row>
    <row r="32" spans="1:9" x14ac:dyDescent="0.25">
      <c r="A32" s="3"/>
      <c r="B32" s="5"/>
      <c r="C32" s="5"/>
      <c r="D32" s="11"/>
      <c r="E32" s="5"/>
      <c r="F32" s="11"/>
      <c r="G32" s="5"/>
      <c r="H32" s="5"/>
      <c r="I32" s="15"/>
    </row>
    <row r="33" spans="1:9" ht="15.75" thickBot="1" x14ac:dyDescent="0.3">
      <c r="A33" s="22"/>
      <c r="B33" s="23"/>
      <c r="C33" s="23"/>
      <c r="D33" s="24"/>
      <c r="E33" s="23"/>
      <c r="F33" s="24"/>
      <c r="G33" s="23"/>
      <c r="H33" s="23"/>
      <c r="I33" s="25"/>
    </row>
    <row r="35" spans="1:9" x14ac:dyDescent="0.25">
      <c r="B35" s="2">
        <f t="shared" ref="B35:G35" si="0">SUM(B5:B33)</f>
        <v>2014.6599999999999</v>
      </c>
      <c r="C35" s="2">
        <f t="shared" si="0"/>
        <v>2610.8399999999997</v>
      </c>
      <c r="D35" s="2">
        <f t="shared" si="0"/>
        <v>3016.34</v>
      </c>
      <c r="E35" s="2">
        <f t="shared" si="0"/>
        <v>2523.1800000000003</v>
      </c>
      <c r="F35" s="2">
        <f t="shared" si="0"/>
        <v>2518.5</v>
      </c>
      <c r="G35" s="2">
        <f t="shared" si="0"/>
        <v>2734.5</v>
      </c>
      <c r="H35" s="2">
        <f>SUM('Hauskonto 2016'!H5:H33)</f>
        <v>2580.34</v>
      </c>
      <c r="I35" s="2">
        <f>SUM(I5:I33)</f>
        <v>1972.6400000000003</v>
      </c>
    </row>
  </sheetData>
  <pageMargins left="0.7" right="0.7" top="0.78740157499999996" bottom="0.78740157499999996" header="0.3" footer="0.3"/>
  <pageSetup paperSize="9"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tabSelected="1" topLeftCell="A13" workbookViewId="0">
      <selection activeCell="K6" sqref="K6"/>
    </sheetView>
  </sheetViews>
  <sheetFormatPr baseColWidth="10" defaultRowHeight="15" x14ac:dyDescent="0.25"/>
  <cols>
    <col min="1" max="1" width="51.42578125" bestFit="1" customWidth="1"/>
    <col min="11" max="11" width="12" bestFit="1" customWidth="1"/>
  </cols>
  <sheetData>
    <row r="1" spans="1:13" x14ac:dyDescent="0.25">
      <c r="A1" t="s">
        <v>95</v>
      </c>
      <c r="B1" s="1"/>
    </row>
    <row r="2" spans="1:13" x14ac:dyDescent="0.25">
      <c r="B2" s="1"/>
    </row>
    <row r="3" spans="1:13" x14ac:dyDescent="0.25">
      <c r="A3" s="3"/>
      <c r="B3" s="18" t="s">
        <v>54</v>
      </c>
      <c r="C3" s="17" t="s">
        <v>55</v>
      </c>
      <c r="D3" s="17" t="s">
        <v>56</v>
      </c>
      <c r="E3" s="17" t="s">
        <v>57</v>
      </c>
      <c r="F3" s="17" t="s">
        <v>12</v>
      </c>
      <c r="G3" s="17" t="s">
        <v>13</v>
      </c>
      <c r="H3" s="17" t="s">
        <v>14</v>
      </c>
      <c r="I3" s="17" t="s">
        <v>15</v>
      </c>
      <c r="J3" s="17" t="s">
        <v>16</v>
      </c>
      <c r="K3" s="17" t="s">
        <v>17</v>
      </c>
      <c r="L3" s="17" t="s">
        <v>98</v>
      </c>
      <c r="M3" s="17" t="s">
        <v>19</v>
      </c>
    </row>
    <row r="4" spans="1:13" x14ac:dyDescent="0.25">
      <c r="A4" s="3"/>
      <c r="B4" s="18"/>
      <c r="C4" s="17"/>
      <c r="D4" s="17"/>
      <c r="E4" s="17"/>
      <c r="F4" s="17"/>
      <c r="G4" s="17"/>
      <c r="H4" s="17"/>
      <c r="I4" s="17"/>
      <c r="J4" s="19"/>
      <c r="K4" s="19"/>
      <c r="L4" s="19"/>
      <c r="M4" s="19"/>
    </row>
    <row r="5" spans="1:13" x14ac:dyDescent="0.25">
      <c r="A5" s="3" t="s">
        <v>59</v>
      </c>
      <c r="B5" s="18">
        <v>1972.64</v>
      </c>
      <c r="C5" s="18">
        <v>2210.11</v>
      </c>
      <c r="D5" s="18">
        <v>2102.98</v>
      </c>
      <c r="E5" s="18">
        <v>2675.45</v>
      </c>
      <c r="F5" s="18">
        <v>3249.5</v>
      </c>
      <c r="G5" s="18">
        <v>3484.68</v>
      </c>
      <c r="H5" s="18">
        <v>3956.65</v>
      </c>
      <c r="I5" s="18">
        <v>4515.1499999999996</v>
      </c>
      <c r="J5" s="19">
        <v>4740.16</v>
      </c>
      <c r="K5" s="19">
        <v>5045.1499999999996</v>
      </c>
      <c r="L5" s="19"/>
      <c r="M5" s="19"/>
    </row>
    <row r="6" spans="1:13" x14ac:dyDescent="0.25">
      <c r="A6" s="3"/>
      <c r="B6" s="18"/>
      <c r="C6" s="18" t="s">
        <v>2</v>
      </c>
      <c r="D6" s="18"/>
      <c r="E6" s="18"/>
      <c r="F6" s="18"/>
      <c r="G6" s="18"/>
      <c r="H6" s="18"/>
      <c r="I6" s="18"/>
      <c r="J6" s="19"/>
      <c r="K6" s="19"/>
      <c r="L6" s="19"/>
      <c r="M6" s="19"/>
    </row>
    <row r="7" spans="1:13" x14ac:dyDescent="0.25">
      <c r="A7" s="3" t="s">
        <v>64</v>
      </c>
      <c r="B7" s="18">
        <v>310</v>
      </c>
      <c r="C7" s="18">
        <v>310</v>
      </c>
      <c r="D7" s="18">
        <v>310</v>
      </c>
      <c r="E7" s="18">
        <v>310</v>
      </c>
      <c r="F7" s="18">
        <v>310</v>
      </c>
      <c r="G7" s="18">
        <v>310</v>
      </c>
      <c r="H7" s="18">
        <v>310</v>
      </c>
      <c r="I7" s="18">
        <v>310</v>
      </c>
      <c r="J7" s="19">
        <v>310</v>
      </c>
      <c r="K7" s="19">
        <v>310</v>
      </c>
      <c r="L7" s="19"/>
      <c r="M7" s="19"/>
    </row>
    <row r="8" spans="1:13" x14ac:dyDescent="0.25">
      <c r="A8" s="3" t="s">
        <v>65</v>
      </c>
      <c r="B8" s="18">
        <v>600</v>
      </c>
      <c r="C8" s="18">
        <v>600</v>
      </c>
      <c r="D8" s="18">
        <v>600</v>
      </c>
      <c r="E8" s="18">
        <v>600</v>
      </c>
      <c r="F8" s="18">
        <v>600</v>
      </c>
      <c r="G8" s="18">
        <v>600</v>
      </c>
      <c r="H8" s="18">
        <v>600</v>
      </c>
      <c r="I8" s="18">
        <v>600</v>
      </c>
      <c r="J8" s="19">
        <v>600</v>
      </c>
      <c r="K8" s="19"/>
      <c r="L8" s="19"/>
      <c r="M8" s="19"/>
    </row>
    <row r="9" spans="1:13" x14ac:dyDescent="0.25">
      <c r="A9" s="3" t="s">
        <v>79</v>
      </c>
      <c r="B9" s="18">
        <v>400</v>
      </c>
      <c r="C9" s="18">
        <v>400</v>
      </c>
      <c r="D9" s="18">
        <v>400</v>
      </c>
      <c r="E9" s="18">
        <v>400</v>
      </c>
      <c r="F9" s="18">
        <v>400</v>
      </c>
      <c r="G9" s="18">
        <v>400</v>
      </c>
      <c r="H9" s="18">
        <v>400</v>
      </c>
      <c r="I9" s="18">
        <v>400</v>
      </c>
      <c r="J9" s="19">
        <v>400</v>
      </c>
      <c r="K9" s="19">
        <v>400</v>
      </c>
      <c r="L9" s="19"/>
      <c r="M9" s="19"/>
    </row>
    <row r="10" spans="1:13" ht="15.75" thickBot="1" x14ac:dyDescent="0.3">
      <c r="A10" s="22"/>
      <c r="B10" s="18"/>
      <c r="C10" s="18"/>
      <c r="D10" s="18"/>
      <c r="E10" s="18"/>
      <c r="F10" s="18"/>
      <c r="G10" s="18"/>
      <c r="H10" s="18"/>
      <c r="I10" s="18"/>
      <c r="J10" s="19"/>
      <c r="K10" s="19" t="s">
        <v>2</v>
      </c>
      <c r="L10" s="19"/>
      <c r="M10" s="19"/>
    </row>
    <row r="11" spans="1:13" x14ac:dyDescent="0.25">
      <c r="A11" s="26" t="s">
        <v>66</v>
      </c>
      <c r="B11" s="18">
        <v>-290</v>
      </c>
      <c r="C11" s="18">
        <v>-300</v>
      </c>
      <c r="D11" s="18">
        <v>-300</v>
      </c>
      <c r="E11" s="18">
        <v>-300</v>
      </c>
      <c r="F11" s="18">
        <v>-300</v>
      </c>
      <c r="G11" s="18">
        <v>-300</v>
      </c>
      <c r="H11" s="18">
        <v>-300</v>
      </c>
      <c r="I11" s="18">
        <v>-300</v>
      </c>
      <c r="J11" s="19">
        <v>-300</v>
      </c>
      <c r="K11" s="19" t="s">
        <v>2</v>
      </c>
      <c r="L11" s="19"/>
      <c r="M11" s="19"/>
    </row>
    <row r="12" spans="1:13" x14ac:dyDescent="0.25">
      <c r="A12" s="3" t="s">
        <v>67</v>
      </c>
      <c r="B12" s="18">
        <v>-300</v>
      </c>
      <c r="C12" s="18">
        <v>-290</v>
      </c>
      <c r="D12" s="18">
        <v>-290</v>
      </c>
      <c r="E12" s="18">
        <v>-290</v>
      </c>
      <c r="F12" s="18">
        <v>-290</v>
      </c>
      <c r="G12" s="18">
        <v>-290</v>
      </c>
      <c r="H12" s="18">
        <v>-290</v>
      </c>
      <c r="I12" s="18">
        <v>-290</v>
      </c>
      <c r="J12" s="19">
        <v>-290</v>
      </c>
      <c r="K12" s="19" t="s">
        <v>2</v>
      </c>
      <c r="L12" s="19"/>
      <c r="M12" s="19"/>
    </row>
    <row r="13" spans="1:13" x14ac:dyDescent="0.25">
      <c r="A13" s="3" t="s">
        <v>68</v>
      </c>
      <c r="B13" s="18">
        <v>-4</v>
      </c>
      <c r="C13" s="18">
        <v>-4</v>
      </c>
      <c r="D13" s="18">
        <v>-4</v>
      </c>
      <c r="E13" s="18">
        <v>-4</v>
      </c>
      <c r="F13" s="18">
        <v>-4</v>
      </c>
      <c r="G13" s="18">
        <v>-4</v>
      </c>
      <c r="H13" s="18">
        <v>-4</v>
      </c>
      <c r="I13" s="18">
        <v>-4</v>
      </c>
      <c r="J13" s="19">
        <v>-4</v>
      </c>
      <c r="K13" s="19"/>
      <c r="L13" s="19"/>
      <c r="M13" s="19"/>
    </row>
    <row r="14" spans="1:13" x14ac:dyDescent="0.25">
      <c r="A14" s="3" t="s">
        <v>34</v>
      </c>
      <c r="B14" s="18"/>
      <c r="C14" s="18">
        <v>-150</v>
      </c>
      <c r="D14" s="18"/>
      <c r="E14" s="18"/>
      <c r="F14" s="18"/>
      <c r="G14" s="18"/>
      <c r="H14" s="18"/>
      <c r="I14" s="18"/>
      <c r="J14" s="19"/>
      <c r="K14" s="19"/>
      <c r="L14" s="19"/>
      <c r="M14" s="19"/>
    </row>
    <row r="15" spans="1:13" x14ac:dyDescent="0.25">
      <c r="A15" s="3" t="s">
        <v>69</v>
      </c>
      <c r="B15" s="18"/>
      <c r="C15" s="18">
        <v>-387.5</v>
      </c>
      <c r="D15" s="18" t="s">
        <v>2</v>
      </c>
      <c r="E15" s="18">
        <v>-127.5</v>
      </c>
      <c r="F15" s="18"/>
      <c r="G15" s="18"/>
      <c r="H15" s="18">
        <v>-127.5</v>
      </c>
      <c r="I15" s="18"/>
      <c r="J15" s="19"/>
      <c r="K15" s="19"/>
      <c r="L15" s="19"/>
      <c r="M15" s="19"/>
    </row>
    <row r="16" spans="1:13" x14ac:dyDescent="0.25">
      <c r="A16" s="3" t="s">
        <v>70</v>
      </c>
      <c r="B16" s="18"/>
      <c r="C16" s="18">
        <v>-24.93</v>
      </c>
      <c r="D16" s="18"/>
      <c r="E16" s="18"/>
      <c r="F16" s="18">
        <v>-95</v>
      </c>
      <c r="G16" s="18"/>
      <c r="H16" s="18"/>
      <c r="I16" s="18">
        <v>-95</v>
      </c>
      <c r="J16" s="19"/>
      <c r="K16" s="19"/>
      <c r="L16" s="19"/>
      <c r="M16" s="19"/>
    </row>
    <row r="17" spans="1:13" x14ac:dyDescent="0.25">
      <c r="A17" s="3" t="s">
        <v>70</v>
      </c>
      <c r="B17" s="18"/>
      <c r="C17" s="18">
        <v>-4.21</v>
      </c>
      <c r="D17" s="18"/>
      <c r="E17" s="18"/>
      <c r="F17" s="18">
        <v>-175</v>
      </c>
      <c r="G17" s="18"/>
      <c r="H17" s="18"/>
      <c r="I17" s="18">
        <v>-175</v>
      </c>
      <c r="J17" s="19"/>
      <c r="K17" s="19"/>
      <c r="L17" s="19"/>
      <c r="M17" s="19"/>
    </row>
    <row r="18" spans="1:13" x14ac:dyDescent="0.25">
      <c r="A18" s="3" t="s">
        <v>70</v>
      </c>
      <c r="B18" s="18"/>
      <c r="C18" s="18">
        <v>-138.91</v>
      </c>
      <c r="D18" s="18"/>
      <c r="E18" s="18"/>
      <c r="F18" s="18">
        <v>-138.91</v>
      </c>
      <c r="G18" s="18"/>
      <c r="H18" s="18"/>
      <c r="I18" s="18">
        <v>-138.91</v>
      </c>
      <c r="J18" s="19"/>
      <c r="K18" s="19"/>
      <c r="L18" s="19"/>
      <c r="M18" s="19"/>
    </row>
    <row r="19" spans="1:13" x14ac:dyDescent="0.25">
      <c r="A19" s="3" t="s">
        <v>83</v>
      </c>
      <c r="B19" s="18">
        <v>-25.54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19"/>
    </row>
    <row r="20" spans="1:13" x14ac:dyDescent="0.25">
      <c r="A20" s="21" t="s">
        <v>84</v>
      </c>
      <c r="B20" s="18">
        <v>-266.16000000000003</v>
      </c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19"/>
    </row>
    <row r="21" spans="1:13" x14ac:dyDescent="0.25">
      <c r="A21" s="33" t="s">
        <v>85</v>
      </c>
      <c r="B21" s="18">
        <v>-186.83</v>
      </c>
      <c r="C21" s="18"/>
      <c r="D21" s="18"/>
      <c r="E21" s="18"/>
      <c r="F21" s="18"/>
      <c r="G21" s="18">
        <v>-55.8</v>
      </c>
      <c r="H21" s="18"/>
      <c r="I21" s="18"/>
      <c r="J21" s="19"/>
      <c r="K21" s="19"/>
      <c r="L21" s="19"/>
      <c r="M21" s="19"/>
    </row>
    <row r="22" spans="1:13" x14ac:dyDescent="0.25">
      <c r="A22" s="3" t="s">
        <v>76</v>
      </c>
      <c r="B22" s="17"/>
      <c r="C22" s="18">
        <v>-25.18</v>
      </c>
      <c r="D22" s="18"/>
      <c r="E22" s="18"/>
      <c r="F22" s="18"/>
      <c r="G22" s="18"/>
      <c r="H22" s="18"/>
      <c r="I22" s="18"/>
      <c r="J22" s="19"/>
      <c r="K22" s="19"/>
      <c r="L22" s="19"/>
      <c r="M22" s="19"/>
    </row>
    <row r="23" spans="1:13" x14ac:dyDescent="0.25">
      <c r="A23" s="33" t="s">
        <v>86</v>
      </c>
      <c r="B23" s="17"/>
      <c r="C23" s="18">
        <v>-63.72</v>
      </c>
      <c r="D23" s="17"/>
      <c r="E23" s="17"/>
      <c r="F23" s="17"/>
      <c r="G23" s="17"/>
      <c r="H23" s="17"/>
      <c r="I23" s="17"/>
      <c r="J23" s="19"/>
      <c r="K23" s="19"/>
      <c r="L23" s="19"/>
      <c r="M23" s="19"/>
    </row>
    <row r="24" spans="1:13" x14ac:dyDescent="0.25">
      <c r="A24" s="33" t="s">
        <v>87</v>
      </c>
      <c r="B24" s="17"/>
      <c r="C24" s="18">
        <v>-16.8</v>
      </c>
      <c r="D24" s="17"/>
      <c r="E24" s="17"/>
      <c r="F24" s="17"/>
      <c r="G24" s="17"/>
      <c r="H24" s="17"/>
      <c r="I24" s="17"/>
      <c r="J24" s="19"/>
      <c r="K24" s="19"/>
      <c r="L24" s="19"/>
      <c r="M24" s="19"/>
    </row>
    <row r="25" spans="1:13" x14ac:dyDescent="0.25">
      <c r="A25" s="33" t="s">
        <v>88</v>
      </c>
      <c r="B25" s="17"/>
      <c r="C25" s="32">
        <v>-11.88</v>
      </c>
      <c r="D25" s="17"/>
      <c r="E25" s="17"/>
      <c r="F25" s="17"/>
      <c r="G25" s="17"/>
      <c r="H25" s="17" t="s">
        <v>2</v>
      </c>
      <c r="I25" s="17"/>
      <c r="J25" s="19"/>
      <c r="K25" s="19"/>
      <c r="L25" s="19"/>
      <c r="M25" s="19"/>
    </row>
    <row r="26" spans="1:13" x14ac:dyDescent="0.25">
      <c r="A26" s="33" t="s">
        <v>89</v>
      </c>
      <c r="B26" s="17"/>
      <c r="C26" s="32"/>
      <c r="D26" s="19">
        <v>-74.56</v>
      </c>
      <c r="E26" s="19">
        <v>-14.45</v>
      </c>
      <c r="F26" s="19">
        <v>-71.91</v>
      </c>
      <c r="G26" s="19">
        <v>-57.98</v>
      </c>
      <c r="H26" s="17" t="s">
        <v>2</v>
      </c>
      <c r="I26" s="17">
        <v>-82.08</v>
      </c>
      <c r="J26" s="19"/>
      <c r="K26" s="19"/>
      <c r="L26" s="19"/>
      <c r="M26" s="19"/>
    </row>
    <row r="27" spans="1:13" x14ac:dyDescent="0.25">
      <c r="A27" s="34" t="s">
        <v>92</v>
      </c>
      <c r="B27" s="17"/>
      <c r="C27" s="32"/>
      <c r="D27" s="19">
        <v>-68.97</v>
      </c>
      <c r="E27" s="19"/>
      <c r="F27" s="19"/>
      <c r="G27" s="19"/>
      <c r="H27" s="17"/>
      <c r="I27" s="17"/>
      <c r="J27" s="19"/>
      <c r="K27" s="19"/>
      <c r="L27" s="19"/>
      <c r="M27" s="19"/>
    </row>
    <row r="28" spans="1:13" x14ac:dyDescent="0.25">
      <c r="A28" s="34" t="s">
        <v>96</v>
      </c>
      <c r="B28" s="17"/>
      <c r="C28" s="32"/>
      <c r="D28" s="19"/>
      <c r="E28" s="19"/>
      <c r="F28" s="19"/>
      <c r="G28" s="19">
        <v>-45.76</v>
      </c>
      <c r="H28" s="17"/>
      <c r="I28" s="17"/>
      <c r="J28" s="19">
        <v>-286.06</v>
      </c>
      <c r="K28" s="19"/>
      <c r="L28" s="19"/>
      <c r="M28" s="19"/>
    </row>
    <row r="29" spans="1:13" x14ac:dyDescent="0.25">
      <c r="A29" s="34" t="s">
        <v>97</v>
      </c>
      <c r="B29" s="17"/>
      <c r="C29" s="32"/>
      <c r="D29" s="19"/>
      <c r="E29" s="19"/>
      <c r="F29" s="19"/>
      <c r="G29" s="19">
        <v>-84.49</v>
      </c>
      <c r="H29" s="17"/>
      <c r="I29" s="17"/>
      <c r="J29" s="19"/>
      <c r="K29" s="19"/>
      <c r="L29" s="19"/>
      <c r="M29" s="19"/>
    </row>
    <row r="30" spans="1:13" x14ac:dyDescent="0.25">
      <c r="A30" s="34" t="s">
        <v>102</v>
      </c>
      <c r="B30" s="17"/>
      <c r="C30" s="32"/>
      <c r="D30" s="19"/>
      <c r="E30" s="19"/>
      <c r="F30" s="19"/>
      <c r="G30" s="19"/>
      <c r="H30" s="17"/>
      <c r="I30" s="17"/>
      <c r="J30" s="19">
        <v>-124.95</v>
      </c>
      <c r="K30" s="19"/>
      <c r="L30" s="19"/>
      <c r="M30" s="19"/>
    </row>
    <row r="31" spans="1:13" x14ac:dyDescent="0.25">
      <c r="A31" s="34" t="s">
        <v>99</v>
      </c>
      <c r="B31" s="17"/>
      <c r="C31" s="32"/>
      <c r="D31" s="19"/>
      <c r="E31" s="19"/>
      <c r="F31" s="19"/>
      <c r="G31" s="19" t="s">
        <v>2</v>
      </c>
      <c r="H31" s="19">
        <v>-30</v>
      </c>
      <c r="I31" s="17"/>
      <c r="J31" s="19"/>
      <c r="K31" s="19"/>
      <c r="L31" s="19"/>
      <c r="M31" s="19"/>
    </row>
    <row r="32" spans="1:13" x14ac:dyDescent="0.25">
      <c r="A32" s="30"/>
      <c r="C32" s="31"/>
      <c r="J32" s="36"/>
      <c r="K32" s="36"/>
      <c r="L32" s="36"/>
      <c r="M32" s="36"/>
    </row>
    <row r="33" spans="2:13" x14ac:dyDescent="0.25">
      <c r="B33" s="2">
        <f>SUM(B5:B26)</f>
        <v>2210.1100000000006</v>
      </c>
      <c r="C33" s="2">
        <f>SUM(C5:C26)</f>
        <v>2102.9800000000005</v>
      </c>
      <c r="D33" s="2">
        <f>SUM(D5:D27)</f>
        <v>2675.4500000000003</v>
      </c>
      <c r="E33" s="2">
        <f>SUM(E3:E26)</f>
        <v>3249.5</v>
      </c>
      <c r="F33" s="2">
        <f>SUM(F5:F27)</f>
        <v>3484.6800000000003</v>
      </c>
      <c r="G33" s="2">
        <f>SUM(G5:G32)</f>
        <v>3956.65</v>
      </c>
      <c r="H33" s="2">
        <f>SUM(H5:H31)</f>
        <v>4515.1499999999996</v>
      </c>
      <c r="I33" s="2">
        <f>SUM(I5:I31)</f>
        <v>4740.16</v>
      </c>
      <c r="J33" s="36">
        <f>SUM(J5:J31)</f>
        <v>5045.1499999999996</v>
      </c>
      <c r="K33" s="36">
        <f>SUM(K5:K31)</f>
        <v>5755.15</v>
      </c>
      <c r="L33" s="36"/>
      <c r="M33" s="36"/>
    </row>
    <row r="34" spans="2:13" x14ac:dyDescent="0.25">
      <c r="K34" t="s">
        <v>2</v>
      </c>
    </row>
    <row r="35" spans="2:13" x14ac:dyDescent="0.25">
      <c r="E35" t="s">
        <v>2</v>
      </c>
      <c r="K35" t="s">
        <v>2</v>
      </c>
    </row>
    <row r="36" spans="2:13" x14ac:dyDescent="0.25">
      <c r="E36" t="s">
        <v>2</v>
      </c>
    </row>
    <row r="37" spans="2:13" x14ac:dyDescent="0.25">
      <c r="E37" t="s">
        <v>2</v>
      </c>
    </row>
  </sheetData>
  <pageMargins left="0.7" right="0.7" top="0.78740157499999996" bottom="0.78740157499999996" header="0.3" footer="0.3"/>
  <pageSetup paperSize="9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16" workbookViewId="0">
      <selection activeCell="L25" sqref="L25"/>
    </sheetView>
  </sheetViews>
  <sheetFormatPr baseColWidth="10" defaultRowHeight="15" x14ac:dyDescent="0.25"/>
  <cols>
    <col min="1" max="1" width="29.28515625" customWidth="1"/>
    <col min="3" max="4" width="12" bestFit="1" customWidth="1"/>
    <col min="7" max="8" width="12" bestFit="1" customWidth="1"/>
  </cols>
  <sheetData>
    <row r="1" spans="1:14" x14ac:dyDescent="0.25">
      <c r="A1" t="s">
        <v>53</v>
      </c>
      <c r="B1" s="1"/>
    </row>
    <row r="2" spans="1:14" x14ac:dyDescent="0.25">
      <c r="B2" s="1"/>
    </row>
    <row r="3" spans="1:14" x14ac:dyDescent="0.25">
      <c r="B3" s="1"/>
      <c r="C3" s="17" t="s">
        <v>54</v>
      </c>
      <c r="D3" s="17" t="s">
        <v>55</v>
      </c>
      <c r="E3" s="17" t="s">
        <v>56</v>
      </c>
      <c r="F3" s="17" t="s">
        <v>57</v>
      </c>
      <c r="G3" s="17" t="s">
        <v>12</v>
      </c>
      <c r="H3" s="3" t="s">
        <v>13</v>
      </c>
      <c r="I3" s="34" t="s">
        <v>14</v>
      </c>
      <c r="J3" s="34" t="s">
        <v>15</v>
      </c>
      <c r="K3" s="34" t="s">
        <v>16</v>
      </c>
      <c r="L3" s="34" t="s">
        <v>17</v>
      </c>
      <c r="M3" s="34" t="s">
        <v>98</v>
      </c>
      <c r="N3" s="34" t="s">
        <v>19</v>
      </c>
    </row>
    <row r="4" spans="1:14" x14ac:dyDescent="0.25">
      <c r="B4" s="1"/>
      <c r="C4" s="17"/>
      <c r="D4" s="17"/>
      <c r="E4" s="17"/>
      <c r="F4" s="17"/>
      <c r="G4" s="17"/>
      <c r="H4" s="3"/>
      <c r="I4" s="17"/>
      <c r="J4" s="17"/>
      <c r="K4" s="17"/>
      <c r="L4" s="17"/>
      <c r="M4" s="17"/>
      <c r="N4" s="17"/>
    </row>
    <row r="5" spans="1:14" x14ac:dyDescent="0.25">
      <c r="A5" t="s">
        <v>1</v>
      </c>
      <c r="B5" s="1"/>
      <c r="C5" s="18">
        <v>8930.25</v>
      </c>
      <c r="D5" s="18">
        <v>10775.3</v>
      </c>
      <c r="E5" s="18">
        <v>8813.65</v>
      </c>
      <c r="F5" s="18">
        <v>8810.31</v>
      </c>
      <c r="G5" s="18">
        <v>8795.11</v>
      </c>
      <c r="H5" s="20">
        <v>8483.9500000000007</v>
      </c>
      <c r="I5" s="37">
        <v>8356.15</v>
      </c>
      <c r="J5" s="19">
        <v>8221</v>
      </c>
      <c r="K5" s="19">
        <v>8130.85</v>
      </c>
      <c r="L5" s="19">
        <v>6291.7</v>
      </c>
      <c r="M5" s="19"/>
      <c r="N5" s="19"/>
    </row>
    <row r="6" spans="1:14" x14ac:dyDescent="0.25">
      <c r="B6" s="1"/>
      <c r="C6" s="18"/>
      <c r="D6" s="18"/>
      <c r="E6" s="18"/>
      <c r="F6" s="18"/>
      <c r="G6" s="18"/>
      <c r="H6" s="20"/>
      <c r="I6" s="37"/>
      <c r="J6" s="19"/>
      <c r="K6" s="19"/>
      <c r="L6" s="19"/>
      <c r="M6" s="19"/>
      <c r="N6" s="19"/>
    </row>
    <row r="7" spans="1:14" x14ac:dyDescent="0.25">
      <c r="A7" t="s">
        <v>0</v>
      </c>
      <c r="B7" s="1"/>
      <c r="C7" s="18">
        <v>362.89</v>
      </c>
      <c r="D7" s="18">
        <v>362.89</v>
      </c>
      <c r="E7" s="18">
        <v>362.89</v>
      </c>
      <c r="F7" s="18">
        <v>362.89</v>
      </c>
      <c r="G7" s="18">
        <v>362.89</v>
      </c>
      <c r="H7" s="20">
        <v>362.89</v>
      </c>
      <c r="I7" s="37">
        <v>366.52</v>
      </c>
      <c r="J7" s="19">
        <v>366.52</v>
      </c>
      <c r="K7" s="19">
        <v>366.52</v>
      </c>
      <c r="L7" s="19">
        <v>366.52</v>
      </c>
      <c r="M7" s="19"/>
      <c r="N7" s="19"/>
    </row>
    <row r="8" spans="1:14" x14ac:dyDescent="0.25">
      <c r="A8" t="s">
        <v>3</v>
      </c>
      <c r="B8" s="1"/>
      <c r="C8" s="18">
        <v>14.96</v>
      </c>
      <c r="D8" s="18">
        <v>14.92</v>
      </c>
      <c r="E8" s="18">
        <v>15.58</v>
      </c>
      <c r="F8" s="18">
        <v>15.25</v>
      </c>
      <c r="G8" s="18">
        <v>15.25</v>
      </c>
      <c r="H8" s="20">
        <v>15.25</v>
      </c>
      <c r="I8" s="37">
        <v>15.25</v>
      </c>
      <c r="J8" s="19">
        <v>15.25</v>
      </c>
      <c r="K8" s="19">
        <v>15.25</v>
      </c>
      <c r="L8" s="19">
        <v>15.25</v>
      </c>
      <c r="M8" s="19"/>
      <c r="N8" s="19"/>
    </row>
    <row r="9" spans="1:14" x14ac:dyDescent="0.25">
      <c r="A9" t="s">
        <v>6</v>
      </c>
      <c r="B9" s="1"/>
      <c r="C9" s="18">
        <v>1412.88</v>
      </c>
      <c r="D9" s="18">
        <v>1412.88</v>
      </c>
      <c r="E9" s="18">
        <v>1412.88</v>
      </c>
      <c r="F9" s="18">
        <v>1412.88</v>
      </c>
      <c r="G9" s="18">
        <v>1412.88</v>
      </c>
      <c r="H9" s="20">
        <v>1412.88</v>
      </c>
      <c r="I9" s="37">
        <v>1439.79</v>
      </c>
      <c r="J9" s="19">
        <v>1439.79</v>
      </c>
      <c r="K9" s="19">
        <v>1439.79</v>
      </c>
      <c r="L9" s="19">
        <v>1439.79</v>
      </c>
      <c r="M9" s="19"/>
      <c r="N9" s="19"/>
    </row>
    <row r="10" spans="1:14" x14ac:dyDescent="0.25">
      <c r="A10" t="s">
        <v>7</v>
      </c>
      <c r="B10" s="1"/>
      <c r="C10" s="18">
        <v>110.82</v>
      </c>
      <c r="D10" s="18">
        <v>110.82</v>
      </c>
      <c r="E10" s="18">
        <v>110.82</v>
      </c>
      <c r="F10" s="18">
        <v>110.82</v>
      </c>
      <c r="G10" s="18">
        <v>110.82</v>
      </c>
      <c r="H10" s="20">
        <v>110.82</v>
      </c>
      <c r="I10" s="37">
        <v>112.93</v>
      </c>
      <c r="J10" s="19">
        <v>112.93</v>
      </c>
      <c r="K10" s="19">
        <v>112.93</v>
      </c>
      <c r="L10" s="19">
        <v>112.93</v>
      </c>
      <c r="M10" s="19"/>
      <c r="N10" s="19"/>
    </row>
    <row r="11" spans="1:14" x14ac:dyDescent="0.25">
      <c r="A11" t="s">
        <v>33</v>
      </c>
      <c r="B11" s="1"/>
      <c r="C11" s="18"/>
      <c r="D11" s="18"/>
      <c r="E11" s="18"/>
      <c r="F11" s="18"/>
      <c r="G11" s="18"/>
      <c r="H11" s="20"/>
      <c r="I11" s="37"/>
      <c r="J11" s="19"/>
      <c r="K11" s="19"/>
      <c r="L11" s="19"/>
      <c r="M11" s="19"/>
      <c r="N11" s="19"/>
    </row>
    <row r="12" spans="1:14" x14ac:dyDescent="0.25">
      <c r="A12" t="s">
        <v>36</v>
      </c>
      <c r="B12" s="1"/>
      <c r="C12" s="18"/>
      <c r="D12" s="18"/>
      <c r="E12" s="18"/>
      <c r="F12" s="18"/>
      <c r="G12" s="18"/>
      <c r="H12" s="20"/>
      <c r="I12" s="37"/>
      <c r="J12" s="19"/>
      <c r="K12" s="19"/>
      <c r="L12" s="19"/>
      <c r="M12" s="19"/>
      <c r="N12" s="19"/>
    </row>
    <row r="13" spans="1:14" x14ac:dyDescent="0.25">
      <c r="A13" t="s">
        <v>38</v>
      </c>
      <c r="B13" s="1"/>
      <c r="C13" s="18"/>
      <c r="D13" s="18"/>
      <c r="E13" s="18"/>
      <c r="F13" s="18"/>
      <c r="G13" s="18"/>
      <c r="H13" s="20"/>
      <c r="I13" s="37"/>
      <c r="J13" s="19"/>
      <c r="K13" s="19"/>
      <c r="L13" s="19"/>
      <c r="M13" s="19"/>
      <c r="N13" s="19"/>
    </row>
    <row r="14" spans="1:14" x14ac:dyDescent="0.25">
      <c r="A14" t="s">
        <v>39</v>
      </c>
      <c r="B14" s="1"/>
      <c r="C14" s="18"/>
      <c r="D14" s="18"/>
      <c r="E14" s="18"/>
      <c r="F14" s="18"/>
      <c r="G14" s="18"/>
      <c r="H14" s="20"/>
      <c r="I14" s="37"/>
      <c r="J14" s="19"/>
      <c r="K14" s="19"/>
      <c r="L14" s="19"/>
      <c r="M14" s="19"/>
      <c r="N14" s="19"/>
    </row>
    <row r="15" spans="1:14" x14ac:dyDescent="0.25">
      <c r="A15" t="s">
        <v>41</v>
      </c>
      <c r="B15" s="1"/>
      <c r="C15" s="18"/>
      <c r="D15" s="18"/>
      <c r="E15" s="18"/>
      <c r="F15" s="18"/>
      <c r="G15" s="18"/>
      <c r="H15" s="20"/>
      <c r="I15" s="37"/>
      <c r="J15" s="19"/>
      <c r="K15" s="19"/>
      <c r="L15" s="19"/>
      <c r="M15" s="19"/>
      <c r="N15" s="19"/>
    </row>
    <row r="16" spans="1:14" x14ac:dyDescent="0.25">
      <c r="A16" t="s">
        <v>43</v>
      </c>
      <c r="B16" s="1"/>
      <c r="C16" s="18"/>
      <c r="D16" s="18"/>
      <c r="E16" s="18"/>
      <c r="F16" s="18"/>
      <c r="G16" s="18"/>
      <c r="H16" s="20"/>
      <c r="I16" s="37"/>
      <c r="J16" s="19"/>
      <c r="K16" s="19"/>
      <c r="L16" s="19"/>
      <c r="M16" s="19"/>
      <c r="N16" s="19"/>
    </row>
    <row r="17" spans="1:14" x14ac:dyDescent="0.25">
      <c r="A17" t="s">
        <v>44</v>
      </c>
      <c r="B17" s="1"/>
      <c r="C17" s="18"/>
      <c r="D17" s="18"/>
      <c r="E17" s="18"/>
      <c r="F17" s="18"/>
      <c r="G17" s="18"/>
      <c r="H17" s="20"/>
      <c r="I17" s="37"/>
      <c r="J17" s="19"/>
      <c r="K17" s="19"/>
      <c r="L17" s="19"/>
      <c r="M17" s="19"/>
      <c r="N17" s="19"/>
    </row>
    <row r="18" spans="1:14" x14ac:dyDescent="0.25">
      <c r="A18" t="s">
        <v>46</v>
      </c>
      <c r="B18" s="1"/>
      <c r="C18" s="18"/>
      <c r="D18" s="18"/>
      <c r="E18" s="18"/>
      <c r="F18" s="18"/>
      <c r="G18" s="18"/>
      <c r="H18" s="20"/>
      <c r="I18" s="37"/>
      <c r="J18" s="19"/>
      <c r="K18" s="19"/>
      <c r="L18" s="19"/>
      <c r="M18" s="19"/>
      <c r="N18" s="19"/>
    </row>
    <row r="19" spans="1:14" x14ac:dyDescent="0.25">
      <c r="A19" t="s">
        <v>48</v>
      </c>
      <c r="B19" s="1"/>
      <c r="C19" s="18"/>
      <c r="D19" s="18"/>
      <c r="E19" s="18"/>
      <c r="F19" s="18"/>
      <c r="G19" s="18"/>
      <c r="H19" s="20"/>
      <c r="I19" s="37"/>
      <c r="J19" s="19"/>
      <c r="K19" s="19"/>
      <c r="L19" s="19"/>
      <c r="M19" s="19"/>
      <c r="N19" s="19"/>
    </row>
    <row r="20" spans="1:14" x14ac:dyDescent="0.25">
      <c r="A20" t="s">
        <v>61</v>
      </c>
      <c r="B20" s="1"/>
      <c r="C20" s="18"/>
      <c r="D20" s="18">
        <v>307.41000000000003</v>
      </c>
      <c r="E20" s="18">
        <v>12.92</v>
      </c>
      <c r="F20" s="18"/>
      <c r="G20" s="18"/>
      <c r="H20" s="20"/>
      <c r="I20" s="37"/>
      <c r="J20" s="19"/>
      <c r="K20" s="19"/>
      <c r="L20" s="19"/>
      <c r="M20" s="19"/>
      <c r="N20" s="19"/>
    </row>
    <row r="21" spans="1:14" x14ac:dyDescent="0.25">
      <c r="A21" t="s">
        <v>2</v>
      </c>
      <c r="B21" s="1"/>
      <c r="C21" s="18"/>
      <c r="D21" s="18"/>
      <c r="E21" s="18"/>
      <c r="F21" s="18"/>
      <c r="G21" s="18"/>
      <c r="H21" s="20"/>
      <c r="I21" s="37"/>
      <c r="J21" s="19"/>
      <c r="K21" s="19"/>
      <c r="L21" s="19"/>
      <c r="M21" s="19"/>
      <c r="N21" s="19"/>
    </row>
    <row r="22" spans="1:14" x14ac:dyDescent="0.25">
      <c r="B22" s="1"/>
      <c r="C22" s="18"/>
      <c r="D22" s="18"/>
      <c r="E22" s="18"/>
      <c r="F22" s="18"/>
      <c r="G22" s="18"/>
      <c r="H22" s="20"/>
      <c r="I22" s="37"/>
      <c r="J22" s="19"/>
      <c r="K22" s="19"/>
      <c r="L22" s="19"/>
      <c r="M22" s="19"/>
      <c r="N22" s="19"/>
    </row>
    <row r="23" spans="1:14" x14ac:dyDescent="0.25">
      <c r="A23" t="s">
        <v>4</v>
      </c>
      <c r="B23" s="1"/>
      <c r="C23" s="18"/>
      <c r="D23" s="18"/>
      <c r="E23" s="18"/>
      <c r="F23" s="18"/>
      <c r="G23" s="18"/>
      <c r="H23" s="20"/>
      <c r="I23" s="37"/>
      <c r="J23" s="19"/>
      <c r="K23" s="19"/>
      <c r="L23" s="19"/>
      <c r="M23" s="19"/>
      <c r="N23" s="19"/>
    </row>
    <row r="24" spans="1:14" x14ac:dyDescent="0.25">
      <c r="A24" t="s">
        <v>32</v>
      </c>
      <c r="B24" s="1"/>
      <c r="C24" s="18" t="s">
        <v>2</v>
      </c>
      <c r="D24" s="18">
        <v>-3731.28</v>
      </c>
      <c r="E24" s="18">
        <v>-1865.64</v>
      </c>
      <c r="F24" s="18">
        <v>-1865.64</v>
      </c>
      <c r="G24" s="18">
        <v>-1841.02</v>
      </c>
      <c r="H24" s="20">
        <v>-1865.64</v>
      </c>
      <c r="I24" s="37">
        <v>-1865.64</v>
      </c>
      <c r="J24" s="19">
        <v>-1865.64</v>
      </c>
      <c r="K24" s="19">
        <v>-1865.64</v>
      </c>
      <c r="L24" s="19">
        <v>-1865.64</v>
      </c>
      <c r="M24" s="19"/>
      <c r="N24" s="19"/>
    </row>
    <row r="25" spans="1:14" x14ac:dyDescent="0.25">
      <c r="A25" t="s">
        <v>8</v>
      </c>
      <c r="B25" s="1"/>
      <c r="C25" s="18">
        <v>-4</v>
      </c>
      <c r="D25" s="18">
        <v>-4</v>
      </c>
      <c r="E25" s="18">
        <v>-4</v>
      </c>
      <c r="F25" s="18">
        <v>-4</v>
      </c>
      <c r="G25" s="18">
        <v>-4</v>
      </c>
      <c r="H25" s="20">
        <v>-4</v>
      </c>
      <c r="I25" s="37">
        <v>-4</v>
      </c>
      <c r="J25" s="19">
        <v>-4</v>
      </c>
      <c r="K25" s="19">
        <v>-4</v>
      </c>
      <c r="L25" s="19">
        <v>-4</v>
      </c>
      <c r="M25" s="19"/>
      <c r="N25" s="19"/>
    </row>
    <row r="26" spans="1:14" x14ac:dyDescent="0.25">
      <c r="A26" t="s">
        <v>5</v>
      </c>
      <c r="B26" s="1"/>
      <c r="C26" s="18"/>
      <c r="D26" s="18"/>
      <c r="E26" s="18"/>
      <c r="F26" s="18"/>
      <c r="G26" s="18"/>
      <c r="H26" s="20"/>
      <c r="I26" s="37"/>
      <c r="J26" s="19"/>
      <c r="K26" s="19"/>
      <c r="L26" s="19"/>
      <c r="M26" s="19"/>
      <c r="N26" s="19"/>
    </row>
    <row r="27" spans="1:14" x14ac:dyDescent="0.25">
      <c r="A27" t="s">
        <v>34</v>
      </c>
      <c r="C27" s="17"/>
      <c r="D27" s="18"/>
      <c r="E27" s="18"/>
      <c r="F27" s="18"/>
      <c r="G27" s="18"/>
      <c r="H27" s="20">
        <v>-150</v>
      </c>
      <c r="I27" s="37"/>
      <c r="J27" s="19"/>
      <c r="K27" s="19"/>
      <c r="L27" s="19"/>
      <c r="M27" s="19"/>
      <c r="N27" s="19"/>
    </row>
    <row r="28" spans="1:14" x14ac:dyDescent="0.25">
      <c r="A28" t="s">
        <v>58</v>
      </c>
      <c r="B28" s="1"/>
      <c r="C28" s="18">
        <v>-52.5</v>
      </c>
      <c r="D28" s="18"/>
      <c r="E28" s="18"/>
      <c r="F28" s="18"/>
      <c r="G28" s="18"/>
      <c r="H28" s="20"/>
      <c r="I28" s="37"/>
      <c r="J28" s="19">
        <v>-55</v>
      </c>
      <c r="K28" s="19"/>
      <c r="L28" s="19"/>
      <c r="M28" s="19"/>
      <c r="N28" s="19"/>
    </row>
    <row r="29" spans="1:14" x14ac:dyDescent="0.25">
      <c r="A29" t="s">
        <v>93</v>
      </c>
      <c r="B29" s="1"/>
      <c r="C29" s="18"/>
      <c r="D29" s="18"/>
      <c r="E29" s="18"/>
      <c r="F29" s="18"/>
      <c r="G29" s="18">
        <v>-297.98</v>
      </c>
      <c r="H29" s="20"/>
      <c r="I29" s="37"/>
      <c r="J29" s="19"/>
      <c r="K29" s="19"/>
      <c r="L29" s="19"/>
      <c r="M29" s="19"/>
      <c r="N29" s="19"/>
    </row>
    <row r="30" spans="1:14" x14ac:dyDescent="0.25">
      <c r="A30" t="s">
        <v>60</v>
      </c>
      <c r="C30" s="17"/>
      <c r="D30" s="18">
        <v>-20</v>
      </c>
      <c r="E30" s="19">
        <v>-48.79</v>
      </c>
      <c r="F30" s="19"/>
      <c r="G30" s="19"/>
      <c r="H30" s="35">
        <v>-10</v>
      </c>
      <c r="I30" s="37"/>
      <c r="J30" s="19"/>
      <c r="K30" s="19"/>
      <c r="L30" s="19"/>
      <c r="M30" s="19"/>
      <c r="N30" s="19"/>
    </row>
    <row r="31" spans="1:14" x14ac:dyDescent="0.25">
      <c r="A31" t="s">
        <v>62</v>
      </c>
      <c r="C31" s="17"/>
      <c r="D31" s="19">
        <v>-415.29</v>
      </c>
      <c r="E31" s="17"/>
      <c r="F31" s="17"/>
      <c r="G31" s="17"/>
      <c r="H31" s="3"/>
      <c r="I31" s="37"/>
      <c r="J31" s="19"/>
      <c r="K31" s="19"/>
      <c r="L31" s="19"/>
      <c r="M31" s="19"/>
      <c r="N31" s="19"/>
    </row>
    <row r="32" spans="1:14" x14ac:dyDescent="0.25">
      <c r="A32" t="s">
        <v>90</v>
      </c>
      <c r="C32" s="17"/>
      <c r="D32" s="17"/>
      <c r="E32" s="19" t="s">
        <v>2</v>
      </c>
      <c r="F32" s="18">
        <v>-12</v>
      </c>
      <c r="G32" s="17"/>
      <c r="H32" s="3"/>
      <c r="I32" s="37"/>
      <c r="J32" s="19"/>
      <c r="K32" s="19"/>
      <c r="L32" s="19"/>
      <c r="M32" s="19"/>
      <c r="N32" s="19"/>
    </row>
    <row r="33" spans="1:14" x14ac:dyDescent="0.25">
      <c r="A33" t="s">
        <v>91</v>
      </c>
      <c r="C33" s="17"/>
      <c r="D33" s="17"/>
      <c r="E33" s="17"/>
      <c r="F33" s="18">
        <v>-35.4</v>
      </c>
      <c r="G33" s="17"/>
      <c r="H33" s="3"/>
      <c r="I33" s="37"/>
      <c r="J33" s="19"/>
      <c r="K33" s="19"/>
      <c r="L33" s="19"/>
      <c r="M33" s="19"/>
      <c r="N33" s="19"/>
    </row>
    <row r="34" spans="1:14" x14ac:dyDescent="0.25">
      <c r="A34" t="s">
        <v>27</v>
      </c>
      <c r="C34" s="17"/>
      <c r="D34" s="17"/>
      <c r="E34" s="17"/>
      <c r="F34" s="17"/>
      <c r="G34" s="19">
        <v>-70</v>
      </c>
      <c r="H34" s="3"/>
      <c r="I34" s="37"/>
      <c r="J34" s="19"/>
      <c r="K34" s="19"/>
      <c r="L34" s="19"/>
      <c r="M34" s="19"/>
      <c r="N34" s="19"/>
    </row>
    <row r="35" spans="1:14" x14ac:dyDescent="0.25">
      <c r="A35" t="s">
        <v>101</v>
      </c>
      <c r="C35" s="17"/>
      <c r="D35" s="17"/>
      <c r="E35" s="17"/>
      <c r="F35" s="17"/>
      <c r="G35" s="19"/>
      <c r="H35" s="3"/>
      <c r="I35" s="37"/>
      <c r="J35" s="19"/>
      <c r="K35" s="19">
        <v>-1904</v>
      </c>
      <c r="L35" s="19"/>
      <c r="M35" s="19"/>
      <c r="N35" s="19"/>
    </row>
    <row r="36" spans="1:14" x14ac:dyDescent="0.25">
      <c r="A36" t="s">
        <v>100</v>
      </c>
      <c r="C36" s="17"/>
      <c r="D36" s="17"/>
      <c r="E36" s="17"/>
      <c r="F36" s="17"/>
      <c r="G36" s="19"/>
      <c r="H36" s="3"/>
      <c r="I36" s="37">
        <v>-200</v>
      </c>
      <c r="J36" s="19">
        <v>-100</v>
      </c>
      <c r="K36" s="19"/>
      <c r="L36" s="19">
        <v>-200</v>
      </c>
      <c r="M36" s="19"/>
      <c r="N36" s="19"/>
    </row>
    <row r="37" spans="1:14" x14ac:dyDescent="0.25">
      <c r="B37" s="1"/>
      <c r="C37" s="18">
        <f>SUM(C5:C30)</f>
        <v>10775.3</v>
      </c>
      <c r="D37" s="18">
        <f>SUM(D5:D34)</f>
        <v>8813.649999999996</v>
      </c>
      <c r="E37" s="18">
        <f>SUM(E5:E34)</f>
        <v>8810.31</v>
      </c>
      <c r="F37" s="18">
        <f>SUM(F5:F34)</f>
        <v>8795.1099999999988</v>
      </c>
      <c r="G37" s="18">
        <f>SUM(G4:G34)</f>
        <v>8483.9500000000007</v>
      </c>
      <c r="H37" s="20">
        <f>SUM(H4:H34)</f>
        <v>8356.1500000000015</v>
      </c>
      <c r="I37" s="37">
        <f>SUM(I4:I36)</f>
        <v>8221</v>
      </c>
      <c r="J37" s="19">
        <f>SUM(J5:J36)</f>
        <v>8130.8500000000022</v>
      </c>
      <c r="K37" s="19">
        <f>SUM(K5:K36)</f>
        <v>6291.7000000000007</v>
      </c>
      <c r="L37" s="19">
        <f>SUM(L5:L36)</f>
        <v>6156.5499999999984</v>
      </c>
      <c r="M37" s="19"/>
      <c r="N37" s="19"/>
    </row>
    <row r="38" spans="1:14" x14ac:dyDescent="0.25">
      <c r="B38" s="1"/>
      <c r="C38" s="1"/>
      <c r="D38" s="1"/>
      <c r="E38" s="1"/>
      <c r="F38" s="1"/>
      <c r="G38" s="1"/>
      <c r="H38" s="1"/>
      <c r="I38" s="1"/>
    </row>
    <row r="39" spans="1:14" x14ac:dyDescent="0.25">
      <c r="A39" t="s">
        <v>2</v>
      </c>
      <c r="B39" s="1"/>
      <c r="C39" s="1"/>
      <c r="D39" s="1"/>
      <c r="E39" s="1"/>
      <c r="F39" s="1"/>
      <c r="G39" s="1"/>
      <c r="H39" s="1"/>
      <c r="I39" s="1"/>
    </row>
    <row r="40" spans="1:14" x14ac:dyDescent="0.25">
      <c r="A40" t="s">
        <v>2</v>
      </c>
      <c r="B40" s="1"/>
      <c r="C40" s="1"/>
      <c r="D40" s="1"/>
      <c r="E40" s="1"/>
      <c r="F40" s="1"/>
      <c r="G40" s="1"/>
      <c r="H40" s="1"/>
      <c r="I40" s="1"/>
    </row>
    <row r="41" spans="1:14" x14ac:dyDescent="0.25">
      <c r="B41" s="2"/>
      <c r="C41" s="2"/>
      <c r="D41" s="2"/>
      <c r="E41" s="2"/>
      <c r="F41" s="2"/>
      <c r="G41" s="2"/>
      <c r="H41" s="2"/>
      <c r="I41" s="2"/>
    </row>
    <row r="44" spans="1:14" x14ac:dyDescent="0.25">
      <c r="B44" s="1"/>
    </row>
    <row r="46" spans="1:14" x14ac:dyDescent="0.25">
      <c r="A46" t="s">
        <v>2</v>
      </c>
    </row>
  </sheetData>
  <pageMargins left="0.7" right="0.7" top="0.78740157499999996" bottom="0.78740157499999996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Papa Privat 2016</vt:lpstr>
      <vt:lpstr>Hauskonto 2016</vt:lpstr>
      <vt:lpstr>Hauskonto 2017</vt:lpstr>
      <vt:lpstr>Papa Privat 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Petermann</dc:creator>
  <cp:lastModifiedBy>Petermann</cp:lastModifiedBy>
  <cp:lastPrinted>2017-05-17T13:01:06Z</cp:lastPrinted>
  <dcterms:created xsi:type="dcterms:W3CDTF">2017-03-14T14:11:07Z</dcterms:created>
  <dcterms:modified xsi:type="dcterms:W3CDTF">2017-10-04T15:32:45Z</dcterms:modified>
</cp:coreProperties>
</file>