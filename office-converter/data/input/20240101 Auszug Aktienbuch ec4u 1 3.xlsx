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317"/>
  <workbookPr filterPrivacy="1" autoCompressPictures="0"/>
  <bookViews>
    <workbookView xWindow="0" yWindow="-460" windowWidth="46900" windowHeight="27940"/>
  </bookViews>
  <sheets>
    <sheet name="Tabelle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5" i="1" l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G34" i="1"/>
  <c r="H34" i="1"/>
  <c r="I34" i="1"/>
  <c r="G33" i="1"/>
  <c r="H33" i="1"/>
  <c r="I33" i="1"/>
  <c r="G32" i="1"/>
  <c r="H32" i="1"/>
  <c r="I32" i="1"/>
  <c r="G31" i="1"/>
  <c r="H31" i="1"/>
  <c r="I31" i="1"/>
  <c r="G30" i="1"/>
  <c r="H30" i="1"/>
  <c r="I30" i="1"/>
  <c r="G29" i="1"/>
  <c r="H29" i="1"/>
  <c r="I29" i="1"/>
  <c r="G28" i="1"/>
  <c r="H28" i="1"/>
  <c r="I28" i="1"/>
  <c r="G27" i="1"/>
  <c r="H27" i="1"/>
  <c r="I27" i="1"/>
  <c r="G23" i="1"/>
  <c r="H23" i="1"/>
  <c r="I23" i="1"/>
  <c r="G22" i="1"/>
  <c r="H22" i="1"/>
  <c r="I22" i="1"/>
  <c r="G24" i="1"/>
  <c r="H24" i="1"/>
  <c r="I24" i="1"/>
  <c r="I21" i="1"/>
  <c r="H21" i="1"/>
  <c r="H25" i="1"/>
  <c r="G21" i="1"/>
  <c r="G25" i="1"/>
  <c r="F42" i="1"/>
  <c r="E42" i="1"/>
  <c r="F41" i="1"/>
  <c r="E41" i="1"/>
  <c r="D42" i="1"/>
  <c r="C42" i="1"/>
  <c r="D41" i="1"/>
  <c r="C41" i="1"/>
  <c r="G26" i="1"/>
  <c r="H26" i="1"/>
  <c r="I26" i="1"/>
  <c r="I25" i="1"/>
  <c r="B27" i="1"/>
  <c r="B4" i="1"/>
  <c r="B7" i="1"/>
  <c r="B15" i="1"/>
  <c r="C26" i="1"/>
  <c r="C25" i="1"/>
  <c r="E25" i="1"/>
  <c r="E26" i="1"/>
  <c r="E27" i="1"/>
  <c r="E21" i="1"/>
  <c r="B22" i="1"/>
  <c r="E22" i="1"/>
  <c r="E23" i="1"/>
  <c r="E24" i="1"/>
  <c r="E28" i="1"/>
  <c r="E29" i="1"/>
  <c r="E30" i="1"/>
  <c r="E31" i="1"/>
  <c r="E32" i="1"/>
  <c r="E33" i="1"/>
  <c r="E34" i="1"/>
  <c r="E3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F25" i="1"/>
  <c r="F27" i="1"/>
  <c r="C27" i="1"/>
  <c r="F26" i="1"/>
  <c r="D35" i="1"/>
  <c r="D36" i="1"/>
  <c r="B35" i="1"/>
  <c r="B36" i="1"/>
  <c r="F35" i="1"/>
  <c r="F34" i="1"/>
  <c r="F33" i="1"/>
  <c r="F32" i="1"/>
  <c r="F31" i="1"/>
  <c r="F30" i="1"/>
  <c r="F29" i="1"/>
  <c r="F28" i="1"/>
  <c r="F24" i="1"/>
  <c r="C24" i="1"/>
  <c r="F23" i="1"/>
  <c r="C23" i="1"/>
  <c r="F22" i="1"/>
  <c r="C22" i="1"/>
  <c r="F21" i="1"/>
  <c r="C21" i="1"/>
  <c r="D15" i="1"/>
  <c r="D16" i="1"/>
  <c r="B16" i="1"/>
  <c r="C6" i="1"/>
  <c r="C7" i="1"/>
  <c r="F4" i="1"/>
  <c r="F3" i="1"/>
  <c r="F6" i="1"/>
  <c r="C5" i="1"/>
  <c r="C3" i="1"/>
  <c r="C4" i="1"/>
  <c r="F8" i="1"/>
  <c r="F12" i="1"/>
  <c r="F9" i="1"/>
  <c r="F13" i="1"/>
  <c r="F10" i="1"/>
  <c r="F14" i="1"/>
  <c r="F7" i="1"/>
  <c r="F11" i="1"/>
  <c r="F15" i="1"/>
  <c r="F5" i="1"/>
</calcChain>
</file>

<file path=xl/sharedStrings.xml><?xml version="1.0" encoding="utf-8"?>
<sst xmlns="http://schemas.openxmlformats.org/spreadsheetml/2006/main" count="51" uniqueCount="31">
  <si>
    <t>Stammakt.</t>
  </si>
  <si>
    <t>Aktienbesitzer</t>
  </si>
  <si>
    <t>Aktienanzahl</t>
  </si>
  <si>
    <t>Anteile</t>
  </si>
  <si>
    <t>Steffen Deufel</t>
  </si>
  <si>
    <t>Gregor Bublitz</t>
  </si>
  <si>
    <t>Jens Rehwinkel</t>
  </si>
  <si>
    <t>David Laux</t>
  </si>
  <si>
    <t>ec4u</t>
  </si>
  <si>
    <t>Klaus Blumhofer</t>
  </si>
  <si>
    <t>Rouven Degen</t>
  </si>
  <si>
    <t>Patrick Schäfer</t>
  </si>
  <si>
    <t>Peer Stehling</t>
  </si>
  <si>
    <t>Mario Pufahl</t>
  </si>
  <si>
    <t>Jan Haubrich</t>
  </si>
  <si>
    <t>VZ-Gesamt</t>
  </si>
  <si>
    <t>Aktien Ges.</t>
  </si>
  <si>
    <t>Anteile Stamm</t>
  </si>
  <si>
    <t>Weitere MA</t>
  </si>
  <si>
    <t>Gesamt</t>
  </si>
  <si>
    <t>Anteil</t>
  </si>
  <si>
    <t>Reinhard Janning</t>
  </si>
  <si>
    <t>Erwin Arnold</t>
  </si>
  <si>
    <t>Dividende Stamm</t>
  </si>
  <si>
    <t>Dividende VZ</t>
  </si>
  <si>
    <t>DG</t>
  </si>
  <si>
    <t>Erwin</t>
  </si>
  <si>
    <t>Reinhard</t>
  </si>
  <si>
    <t>DG Gewinn nach Steuern</t>
  </si>
  <si>
    <t>Auszahlung</t>
  </si>
  <si>
    <t>Aktienwert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</si>
</sst>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#,##0.00\ &quot;€&quot;;[Red]#,##0.00\ &quot;€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74">
    <xf numFmtId="0" fontId="0" fillId="0" borderId="0"/>
    <xf numFmtId="9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/>
    <xf numFmtId="0" fontId="0" fillId="0" borderId="1" xfId="0" applyBorder="1"/>
    <xf numFmtId="0" fontId="0" fillId="0" borderId="0" xfId="0" applyFill="1" applyBorder="1"/>
    <xf numFmtId="10" fontId="0" fillId="0" borderId="0" xfId="0" applyNumberFormat="1"/>
    <xf numFmtId="4" fontId="0" fillId="0" borderId="0" xfId="0" applyNumberFormat="1"/>
    <xf numFmtId="9" fontId="0" fillId="0" borderId="0" xfId="0" applyNumberFormat="1"/>
    <xf numFmtId="44" fontId="0" fillId="0" borderId="0" xfId="3" applyFont="1"/>
    <xf numFmtId="44" fontId="0" fillId="2" borderId="0" xfId="3" applyFont="1" applyFill="1"/>
    <xf numFmtId="4" fontId="0" fillId="3" borderId="0" xfId="0" applyNumberFormat="1" applyFill="1"/>
    <xf numFmtId="2" fontId="0" fillId="0" borderId="0" xfId="0" applyNumberFormat="1"/>
    <xf numFmtId="2" fontId="0" fillId="3" borderId="0" xfId="0" applyNumberFormat="1" applyFill="1"/>
    <xf numFmtId="4" fontId="0" fillId="4" borderId="0" xfId="0" applyNumberFormat="1" applyFill="1"/>
    <xf numFmtId="165" fontId="0" fillId="0" borderId="0" xfId="0" applyNumberFormat="1"/>
    <xf numFmtId="44" fontId="0" fillId="5" borderId="0" xfId="3" applyFont="1" applyFill="1"/>
    <xf numFmtId="0" fontId="3" fillId="6" borderId="0" xfId="0" applyFont="1" applyFill="1"/>
    <xf numFmtId="0" fontId="3" fillId="6" borderId="0" xfId="0" applyFont="1" applyFill="1" applyAlignment="1">
      <alignment horizontal="right"/>
    </xf>
    <xf numFmtId="0" fontId="3" fillId="6" borderId="0" xfId="0" applyFont="1" applyFill="1" applyAlignment="1">
      <alignment horizontal="center"/>
    </xf>
    <xf numFmtId="3" fontId="0" fillId="6" borderId="0" xfId="0" applyNumberFormat="1" applyFill="1" applyAlignment="1">
      <alignment horizontal="right"/>
    </xf>
    <xf numFmtId="10" fontId="1" fillId="6" borderId="0" xfId="1" applyNumberFormat="1" applyFill="1"/>
    <xf numFmtId="10" fontId="0" fillId="6" borderId="0" xfId="1" applyNumberFormat="1" applyFont="1" applyFill="1"/>
    <xf numFmtId="0" fontId="0" fillId="6" borderId="0" xfId="0" applyFill="1"/>
    <xf numFmtId="0" fontId="0" fillId="6" borderId="1" xfId="0" applyFill="1" applyBorder="1"/>
    <xf numFmtId="3" fontId="0" fillId="6" borderId="1" xfId="0" applyNumberFormat="1" applyFill="1" applyBorder="1" applyAlignment="1">
      <alignment horizontal="right"/>
    </xf>
    <xf numFmtId="10" fontId="0" fillId="6" borderId="1" xfId="1" applyNumberFormat="1" applyFont="1" applyFill="1" applyBorder="1"/>
    <xf numFmtId="3" fontId="0" fillId="6" borderId="0" xfId="0" applyNumberFormat="1" applyFill="1"/>
    <xf numFmtId="0" fontId="0" fillId="0" borderId="0" xfId="3" applyNumberFormat="1" applyFont="1" applyAlignment="1">
      <alignment horizontal="center"/>
    </xf>
  </cellXfs>
  <cellStyles count="74"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Euro" xfId="2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Prozent" xfId="1" builtinId="5"/>
    <cellStyle name="Standard" xfId="0" builtinId="0"/>
    <cellStyle name="Währung" xfId="3" builtin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zoomScale="200" zoomScaleNormal="200" zoomScalePageLayoutView="200" workbookViewId="0">
      <selection activeCell="F25" sqref="F25"/>
    </sheetView>
  </sheetViews>
  <sheetFormatPr baseColWidth="10" defaultColWidth="8.83203125" defaultRowHeight="14" x14ac:dyDescent="0"/>
  <cols>
    <col min="1" max="1" width="20" bestFit="1" customWidth="1"/>
    <col min="2" max="2" width="11.6640625" bestFit="1" customWidth="1"/>
    <col min="3" max="3" width="12.83203125" bestFit="1" customWidth="1"/>
    <col min="4" max="4" width="10.1640625" bestFit="1" customWidth="1"/>
    <col min="5" max="5" width="10.5" bestFit="1" customWidth="1"/>
    <col min="6" max="6" width="8.1640625" bestFit="1" customWidth="1"/>
    <col min="7" max="7" width="15.33203125" bestFit="1" customWidth="1"/>
    <col min="8" max="8" width="11.83203125" bestFit="1" customWidth="1"/>
    <col min="9" max="9" width="10.83203125" bestFit="1" customWidth="1"/>
    <col min="11" max="12" width="15.5" customWidth="1"/>
  </cols>
  <sheetData>
    <row r="1" spans="1:6" ht="15">
      <c r="B1" s="1" t="s">
        <v>0</v>
      </c>
      <c r="C1" s="1"/>
      <c r="D1" s="3"/>
      <c r="E1" s="1"/>
    </row>
    <row r="2" spans="1:6">
      <c r="A2" s="2" t="s">
        <v>1</v>
      </c>
      <c r="B2" s="17" t="s">
        <v>2</v>
      </c>
      <c r="C2" s="17" t="s">
        <v>17</v>
      </c>
      <c r="D2" s="18" t="s">
        <v>15</v>
      </c>
      <c r="E2" s="19" t="s">
        <v>16</v>
      </c>
      <c r="F2" s="17" t="s">
        <v>3</v>
      </c>
    </row>
    <row r="3" spans="1:6">
      <c r="A3" t="s">
        <v>4</v>
      </c>
      <c r="B3" s="20">
        <v>159210</v>
      </c>
      <c r="C3" s="21">
        <f>B3/$B$15</f>
        <v>0.3298253609827847</v>
      </c>
      <c r="D3" s="20">
        <v>11120</v>
      </c>
      <c r="E3" s="20">
        <f>B3+D3</f>
        <v>170330</v>
      </c>
      <c r="F3" s="22">
        <f>E3/$E$15</f>
        <v>0.24218338997028338</v>
      </c>
    </row>
    <row r="4" spans="1:6">
      <c r="A4" t="s">
        <v>5</v>
      </c>
      <c r="B4" s="20">
        <f>57730-5700</f>
        <v>52030</v>
      </c>
      <c r="C4" s="21">
        <f t="shared" ref="C4:C7" si="0">B4/$B$15</f>
        <v>0.107787284290775</v>
      </c>
      <c r="D4" s="20">
        <v>13260</v>
      </c>
      <c r="E4" s="20">
        <f t="shared" ref="E4:E14" si="1">B4+D4</f>
        <v>65290</v>
      </c>
      <c r="F4" s="22">
        <f t="shared" ref="F4:F15" si="2">E4/$E$15</f>
        <v>9.2832463636234375E-2</v>
      </c>
    </row>
    <row r="5" spans="1:6">
      <c r="A5" t="s">
        <v>6</v>
      </c>
      <c r="B5" s="20">
        <v>77350</v>
      </c>
      <c r="C5" s="21">
        <f t="shared" si="0"/>
        <v>0.1602411385718133</v>
      </c>
      <c r="D5" s="20">
        <v>10780</v>
      </c>
      <c r="E5" s="20">
        <f t="shared" si="1"/>
        <v>88130</v>
      </c>
      <c r="F5" s="22">
        <f t="shared" si="2"/>
        <v>0.1253074746555573</v>
      </c>
    </row>
    <row r="6" spans="1:6">
      <c r="A6" t="s">
        <v>7</v>
      </c>
      <c r="B6" s="20">
        <v>134460</v>
      </c>
      <c r="C6" s="21">
        <f t="shared" si="0"/>
        <v>0.27855233991423423</v>
      </c>
      <c r="D6" s="20">
        <v>46310</v>
      </c>
      <c r="E6" s="20">
        <f t="shared" si="1"/>
        <v>180770</v>
      </c>
      <c r="F6" s="22">
        <f t="shared" si="2"/>
        <v>0.25702748432412448</v>
      </c>
    </row>
    <row r="7" spans="1:6">
      <c r="A7" t="s">
        <v>8</v>
      </c>
      <c r="B7" s="20">
        <f>53960+5700</f>
        <v>59660</v>
      </c>
      <c r="C7" s="21">
        <f t="shared" si="0"/>
        <v>0.12359387624039278</v>
      </c>
      <c r="D7" s="20">
        <v>7590</v>
      </c>
      <c r="E7" s="20">
        <f t="shared" si="1"/>
        <v>67250</v>
      </c>
      <c r="F7" s="22">
        <f t="shared" si="2"/>
        <v>9.5619285947875055E-2</v>
      </c>
    </row>
    <row r="8" spans="1:6">
      <c r="A8" t="s">
        <v>9</v>
      </c>
      <c r="B8" s="23"/>
      <c r="C8" s="23"/>
      <c r="D8" s="20">
        <v>14800</v>
      </c>
      <c r="E8" s="20">
        <f t="shared" si="1"/>
        <v>14800</v>
      </c>
      <c r="F8" s="22">
        <f t="shared" si="2"/>
        <v>2.104335214912343E-2</v>
      </c>
    </row>
    <row r="9" spans="1:6">
      <c r="A9" t="s">
        <v>10</v>
      </c>
      <c r="B9" s="23"/>
      <c r="C9" s="23"/>
      <c r="D9" s="20">
        <v>7480</v>
      </c>
      <c r="E9" s="20">
        <f t="shared" si="1"/>
        <v>7480</v>
      </c>
      <c r="F9" s="22">
        <f t="shared" si="2"/>
        <v>1.0635423924016436E-2</v>
      </c>
    </row>
    <row r="10" spans="1:6">
      <c r="A10" t="s">
        <v>11</v>
      </c>
      <c r="B10" s="23"/>
      <c r="C10" s="23"/>
      <c r="D10" s="20">
        <v>28910</v>
      </c>
      <c r="E10" s="20">
        <f t="shared" si="1"/>
        <v>28910</v>
      </c>
      <c r="F10" s="22">
        <f t="shared" si="2"/>
        <v>4.1105629096699889E-2</v>
      </c>
    </row>
    <row r="11" spans="1:6">
      <c r="A11" t="s">
        <v>12</v>
      </c>
      <c r="B11" s="23"/>
      <c r="C11" s="23"/>
      <c r="D11" s="20">
        <v>5200</v>
      </c>
      <c r="E11" s="20">
        <f t="shared" si="1"/>
        <v>5200</v>
      </c>
      <c r="F11" s="22">
        <f t="shared" si="2"/>
        <v>7.3936102145568811E-3</v>
      </c>
    </row>
    <row r="12" spans="1:6">
      <c r="A12" t="s">
        <v>13</v>
      </c>
      <c r="B12" s="23"/>
      <c r="C12" s="23"/>
      <c r="D12" s="20">
        <v>10000</v>
      </c>
      <c r="E12" s="20">
        <f t="shared" si="1"/>
        <v>10000</v>
      </c>
      <c r="F12" s="22">
        <f t="shared" si="2"/>
        <v>1.4218481181840156E-2</v>
      </c>
    </row>
    <row r="13" spans="1:6">
      <c r="A13" t="s">
        <v>14</v>
      </c>
      <c r="B13" s="23"/>
      <c r="C13" s="23"/>
      <c r="D13" s="20">
        <v>6000</v>
      </c>
      <c r="E13" s="20">
        <f t="shared" si="1"/>
        <v>6000</v>
      </c>
      <c r="F13" s="22">
        <f t="shared" si="2"/>
        <v>8.5310887091040941E-3</v>
      </c>
    </row>
    <row r="14" spans="1:6">
      <c r="A14" s="4" t="s">
        <v>18</v>
      </c>
      <c r="B14" s="24"/>
      <c r="C14" s="24"/>
      <c r="D14" s="25">
        <v>59150</v>
      </c>
      <c r="E14" s="25">
        <f t="shared" si="1"/>
        <v>59150</v>
      </c>
      <c r="F14" s="26">
        <f t="shared" si="2"/>
        <v>8.4102316190584517E-2</v>
      </c>
    </row>
    <row r="15" spans="1:6">
      <c r="A15" s="5" t="s">
        <v>19</v>
      </c>
      <c r="B15" s="27">
        <f>SUM(B3:B14)</f>
        <v>482710</v>
      </c>
      <c r="C15" s="23"/>
      <c r="D15" s="27">
        <f>SUM(D3:D14)</f>
        <v>220600</v>
      </c>
      <c r="E15" s="27">
        <f>SUM(E3:E14)</f>
        <v>703310</v>
      </c>
      <c r="F15" s="22">
        <f t="shared" si="2"/>
        <v>1</v>
      </c>
    </row>
    <row r="16" spans="1:6">
      <c r="A16" s="5" t="s">
        <v>20</v>
      </c>
      <c r="B16" s="22">
        <f>B15/$E$15</f>
        <v>0.68634030512860611</v>
      </c>
      <c r="C16" s="22"/>
      <c r="D16" s="22">
        <f>D15/$E$15</f>
        <v>0.31365969487139383</v>
      </c>
      <c r="E16" s="23"/>
      <c r="F16" s="23"/>
    </row>
    <row r="20" spans="1:12">
      <c r="A20" s="2" t="s">
        <v>1</v>
      </c>
      <c r="B20" s="17" t="s">
        <v>2</v>
      </c>
      <c r="C20" s="17" t="s">
        <v>17</v>
      </c>
      <c r="D20" s="18" t="s">
        <v>15</v>
      </c>
      <c r="E20" s="19" t="s">
        <v>16</v>
      </c>
      <c r="F20" s="17" t="s">
        <v>3</v>
      </c>
      <c r="G20" s="2" t="s">
        <v>23</v>
      </c>
      <c r="H20" s="2" t="s">
        <v>24</v>
      </c>
      <c r="I20" s="2" t="s">
        <v>29</v>
      </c>
      <c r="K20" s="2" t="s">
        <v>30</v>
      </c>
    </row>
    <row r="21" spans="1:12">
      <c r="A21" t="s">
        <v>4</v>
      </c>
      <c r="B21" s="20">
        <v>159210</v>
      </c>
      <c r="C21" s="21">
        <f>B21/$B$15</f>
        <v>0.3298253609827847</v>
      </c>
      <c r="D21" s="20">
        <v>11120</v>
      </c>
      <c r="E21" s="20">
        <f>B21+D21</f>
        <v>170330</v>
      </c>
      <c r="F21" s="22">
        <f>E21/$E$15</f>
        <v>0.24218338997028338</v>
      </c>
      <c r="G21" s="7">
        <f t="shared" ref="G21:G26" si="3">B21*$G$37</f>
        <v>79605</v>
      </c>
      <c r="H21" s="7">
        <f t="shared" ref="H21:H26" si="4">D21*$H$37</f>
        <v>21128</v>
      </c>
      <c r="I21" s="7">
        <f t="shared" ref="I21:I26" si="5">G21+H21</f>
        <v>100733</v>
      </c>
      <c r="K21" s="9">
        <f>$E21*K$37</f>
        <v>3236270</v>
      </c>
      <c r="L21" s="9">
        <f>$E21*L$37</f>
        <v>4258250</v>
      </c>
    </row>
    <row r="22" spans="1:12">
      <c r="A22" t="s">
        <v>5</v>
      </c>
      <c r="B22" s="20">
        <f>57730-5700</f>
        <v>52030</v>
      </c>
      <c r="C22" s="21">
        <f t="shared" ref="C22:C26" si="6">B22/$B$15</f>
        <v>0.107787284290775</v>
      </c>
      <c r="D22" s="20">
        <v>13260</v>
      </c>
      <c r="E22" s="20">
        <f t="shared" ref="E22:E34" si="7">B22+D22</f>
        <v>65290</v>
      </c>
      <c r="F22" s="22">
        <f t="shared" ref="F22:F35" si="8">E22/$E$15</f>
        <v>9.2832463636234375E-2</v>
      </c>
      <c r="G22" s="7">
        <f t="shared" si="3"/>
        <v>26015</v>
      </c>
      <c r="H22" s="7">
        <f t="shared" si="4"/>
        <v>25194</v>
      </c>
      <c r="I22" s="7">
        <f t="shared" si="5"/>
        <v>51209</v>
      </c>
      <c r="K22" s="9">
        <f t="shared" ref="K22:L35" si="9">$E22*K$37</f>
        <v>1240510</v>
      </c>
      <c r="L22" s="9">
        <f t="shared" si="9"/>
        <v>1632250</v>
      </c>
    </row>
    <row r="23" spans="1:12">
      <c r="A23" t="s">
        <v>6</v>
      </c>
      <c r="B23" s="20">
        <v>77350</v>
      </c>
      <c r="C23" s="21">
        <f t="shared" si="6"/>
        <v>0.1602411385718133</v>
      </c>
      <c r="D23" s="20">
        <v>10780</v>
      </c>
      <c r="E23" s="20">
        <f t="shared" si="7"/>
        <v>88130</v>
      </c>
      <c r="F23" s="22">
        <f t="shared" si="8"/>
        <v>0.1253074746555573</v>
      </c>
      <c r="G23" s="7">
        <f t="shared" si="3"/>
        <v>38675</v>
      </c>
      <c r="H23" s="7">
        <f t="shared" si="4"/>
        <v>20482</v>
      </c>
      <c r="I23" s="7">
        <f t="shared" si="5"/>
        <v>59157</v>
      </c>
      <c r="K23" s="9">
        <f t="shared" si="9"/>
        <v>1674470</v>
      </c>
      <c r="L23" s="9">
        <f t="shared" si="9"/>
        <v>2203250</v>
      </c>
    </row>
    <row r="24" spans="1:12">
      <c r="A24" t="s">
        <v>7</v>
      </c>
      <c r="B24" s="20">
        <v>134460</v>
      </c>
      <c r="C24" s="21">
        <f t="shared" si="6"/>
        <v>0.27855233991423423</v>
      </c>
      <c r="D24" s="20">
        <v>46310</v>
      </c>
      <c r="E24" s="20">
        <f t="shared" si="7"/>
        <v>180770</v>
      </c>
      <c r="F24" s="22">
        <f t="shared" si="8"/>
        <v>0.25702748432412448</v>
      </c>
      <c r="G24" s="7">
        <f t="shared" si="3"/>
        <v>67230</v>
      </c>
      <c r="H24" s="7">
        <f t="shared" si="4"/>
        <v>87989</v>
      </c>
      <c r="I24" s="7">
        <f t="shared" si="5"/>
        <v>155219</v>
      </c>
      <c r="K24" s="9">
        <f t="shared" si="9"/>
        <v>3434630</v>
      </c>
      <c r="L24" s="9">
        <f t="shared" si="9"/>
        <v>4519250</v>
      </c>
    </row>
    <row r="25" spans="1:12">
      <c r="A25" t="s">
        <v>21</v>
      </c>
      <c r="B25" s="20">
        <v>19062</v>
      </c>
      <c r="C25" s="21">
        <f t="shared" si="6"/>
        <v>3.9489548590250875E-2</v>
      </c>
      <c r="D25" s="20">
        <v>3795</v>
      </c>
      <c r="E25" s="20">
        <f t="shared" si="7"/>
        <v>22857</v>
      </c>
      <c r="F25" s="22">
        <f t="shared" si="8"/>
        <v>3.2499182437332047E-2</v>
      </c>
      <c r="G25" s="14">
        <f t="shared" si="3"/>
        <v>9531</v>
      </c>
      <c r="H25" s="14">
        <f t="shared" si="4"/>
        <v>7210.5</v>
      </c>
      <c r="I25" s="11">
        <f t="shared" si="5"/>
        <v>16741.5</v>
      </c>
      <c r="K25" s="9">
        <f t="shared" si="9"/>
        <v>434283</v>
      </c>
      <c r="L25" s="9">
        <f t="shared" si="9"/>
        <v>571425</v>
      </c>
    </row>
    <row r="26" spans="1:12">
      <c r="A26" t="s">
        <v>22</v>
      </c>
      <c r="B26" s="20">
        <v>19062</v>
      </c>
      <c r="C26" s="21">
        <f t="shared" si="6"/>
        <v>3.9489548590250875E-2</v>
      </c>
      <c r="D26" s="20">
        <v>3795</v>
      </c>
      <c r="E26" s="20">
        <f t="shared" ref="E26" si="10">B26+D26</f>
        <v>22857</v>
      </c>
      <c r="F26" s="22">
        <f t="shared" ref="F26" si="11">E26/$E$15</f>
        <v>3.2499182437332047E-2</v>
      </c>
      <c r="G26" s="14">
        <f t="shared" si="3"/>
        <v>9531</v>
      </c>
      <c r="H26" s="14">
        <f t="shared" si="4"/>
        <v>7210.5</v>
      </c>
      <c r="I26" s="11">
        <f t="shared" si="5"/>
        <v>16741.5</v>
      </c>
      <c r="K26" s="9">
        <f t="shared" si="9"/>
        <v>434283</v>
      </c>
      <c r="L26" s="9">
        <f t="shared" si="9"/>
        <v>571425</v>
      </c>
    </row>
    <row r="27" spans="1:12">
      <c r="A27" t="s">
        <v>8</v>
      </c>
      <c r="B27" s="20">
        <f>53960+5700-B26-B25</f>
        <v>21536</v>
      </c>
      <c r="C27" s="21">
        <f t="shared" ref="C27" si="12">B27/$B$15</f>
        <v>4.461477905989103E-2</v>
      </c>
      <c r="D27" s="20">
        <v>0</v>
      </c>
      <c r="E27" s="20">
        <f t="shared" ref="E27" si="13">B27+D27</f>
        <v>21536</v>
      </c>
      <c r="F27" s="22">
        <f t="shared" ref="F27" si="14">E27/$E$15</f>
        <v>3.062092107321096E-2</v>
      </c>
      <c r="G27" s="7">
        <f t="shared" ref="G27:G34" si="15">B27*$G$37</f>
        <v>10768</v>
      </c>
      <c r="H27" s="7">
        <f t="shared" ref="H27:H34" si="16">D27*$H$37</f>
        <v>0</v>
      </c>
      <c r="I27" s="7">
        <f t="shared" ref="I27:I34" si="17">G27+H27</f>
        <v>10768</v>
      </c>
      <c r="K27" s="9">
        <f t="shared" si="9"/>
        <v>409184</v>
      </c>
      <c r="L27" s="9">
        <f t="shared" si="9"/>
        <v>538400</v>
      </c>
    </row>
    <row r="28" spans="1:12">
      <c r="A28" t="s">
        <v>9</v>
      </c>
      <c r="B28" s="23"/>
      <c r="C28" s="23"/>
      <c r="D28" s="20">
        <v>14800</v>
      </c>
      <c r="E28" s="20">
        <f t="shared" si="7"/>
        <v>14800</v>
      </c>
      <c r="F28" s="22">
        <f t="shared" si="8"/>
        <v>2.104335214912343E-2</v>
      </c>
      <c r="G28" s="7">
        <f t="shared" si="15"/>
        <v>0</v>
      </c>
      <c r="H28" s="7">
        <f t="shared" si="16"/>
        <v>28120</v>
      </c>
      <c r="I28" s="7">
        <f t="shared" si="17"/>
        <v>28120</v>
      </c>
      <c r="K28" s="9">
        <f t="shared" si="9"/>
        <v>281200</v>
      </c>
      <c r="L28" s="9">
        <f t="shared" si="9"/>
        <v>370000</v>
      </c>
    </row>
    <row r="29" spans="1:12">
      <c r="A29" t="s">
        <v>10</v>
      </c>
      <c r="B29" s="23"/>
      <c r="C29" s="23"/>
      <c r="D29" s="20">
        <v>7480</v>
      </c>
      <c r="E29" s="20">
        <f t="shared" si="7"/>
        <v>7480</v>
      </c>
      <c r="F29" s="22">
        <f t="shared" si="8"/>
        <v>1.0635423924016436E-2</v>
      </c>
      <c r="G29" s="7">
        <f t="shared" si="15"/>
        <v>0</v>
      </c>
      <c r="H29" s="7">
        <f t="shared" si="16"/>
        <v>14212</v>
      </c>
      <c r="I29" s="7">
        <f t="shared" si="17"/>
        <v>14212</v>
      </c>
      <c r="K29" s="9">
        <f t="shared" si="9"/>
        <v>142120</v>
      </c>
      <c r="L29" s="9">
        <f t="shared" si="9"/>
        <v>187000</v>
      </c>
    </row>
    <row r="30" spans="1:12">
      <c r="A30" t="s">
        <v>11</v>
      </c>
      <c r="B30" s="23"/>
      <c r="C30" s="23"/>
      <c r="D30" s="20">
        <v>28910</v>
      </c>
      <c r="E30" s="20">
        <f t="shared" si="7"/>
        <v>28910</v>
      </c>
      <c r="F30" s="22">
        <f t="shared" si="8"/>
        <v>4.1105629096699889E-2</v>
      </c>
      <c r="G30" s="7">
        <f t="shared" si="15"/>
        <v>0</v>
      </c>
      <c r="H30" s="7">
        <f t="shared" si="16"/>
        <v>54929</v>
      </c>
      <c r="I30" s="7">
        <f t="shared" si="17"/>
        <v>54929</v>
      </c>
      <c r="K30" s="9">
        <f t="shared" si="9"/>
        <v>549290</v>
      </c>
      <c r="L30" s="9">
        <f t="shared" si="9"/>
        <v>722750</v>
      </c>
    </row>
    <row r="31" spans="1:12">
      <c r="A31" t="s">
        <v>12</v>
      </c>
      <c r="B31" s="23"/>
      <c r="C31" s="23"/>
      <c r="D31" s="20">
        <v>5200</v>
      </c>
      <c r="E31" s="20">
        <f t="shared" si="7"/>
        <v>5200</v>
      </c>
      <c r="F31" s="22">
        <f t="shared" si="8"/>
        <v>7.3936102145568811E-3</v>
      </c>
      <c r="G31" s="7">
        <f t="shared" si="15"/>
        <v>0</v>
      </c>
      <c r="H31" s="7">
        <f t="shared" si="16"/>
        <v>9880</v>
      </c>
      <c r="I31" s="7">
        <f t="shared" si="17"/>
        <v>9880</v>
      </c>
      <c r="K31" s="9">
        <f t="shared" si="9"/>
        <v>98800</v>
      </c>
      <c r="L31" s="9">
        <f t="shared" si="9"/>
        <v>130000</v>
      </c>
    </row>
    <row r="32" spans="1:12">
      <c r="A32" t="s">
        <v>13</v>
      </c>
      <c r="B32" s="23"/>
      <c r="C32" s="23"/>
      <c r="D32" s="20">
        <v>10000</v>
      </c>
      <c r="E32" s="20">
        <f t="shared" si="7"/>
        <v>10000</v>
      </c>
      <c r="F32" s="22">
        <f t="shared" si="8"/>
        <v>1.4218481181840156E-2</v>
      </c>
      <c r="G32" s="7">
        <f t="shared" si="15"/>
        <v>0</v>
      </c>
      <c r="H32" s="7">
        <f t="shared" si="16"/>
        <v>19000</v>
      </c>
      <c r="I32" s="7">
        <f t="shared" si="17"/>
        <v>19000</v>
      </c>
      <c r="K32" s="9">
        <f t="shared" si="9"/>
        <v>190000</v>
      </c>
      <c r="L32" s="9">
        <f t="shared" si="9"/>
        <v>250000</v>
      </c>
    </row>
    <row r="33" spans="1:12">
      <c r="A33" t="s">
        <v>14</v>
      </c>
      <c r="B33" s="23"/>
      <c r="C33" s="23"/>
      <c r="D33" s="20">
        <v>6000</v>
      </c>
      <c r="E33" s="20">
        <f t="shared" si="7"/>
        <v>6000</v>
      </c>
      <c r="F33" s="22">
        <f t="shared" si="8"/>
        <v>8.5310887091040941E-3</v>
      </c>
      <c r="G33" s="7">
        <f t="shared" si="15"/>
        <v>0</v>
      </c>
      <c r="H33" s="7">
        <f t="shared" si="16"/>
        <v>11400</v>
      </c>
      <c r="I33" s="7">
        <f t="shared" si="17"/>
        <v>11400</v>
      </c>
      <c r="K33" s="9">
        <f t="shared" si="9"/>
        <v>114000</v>
      </c>
      <c r="L33" s="9">
        <f t="shared" si="9"/>
        <v>150000</v>
      </c>
    </row>
    <row r="34" spans="1:12">
      <c r="A34" s="4" t="s">
        <v>18</v>
      </c>
      <c r="B34" s="24"/>
      <c r="C34" s="24"/>
      <c r="D34" s="25">
        <v>59150</v>
      </c>
      <c r="E34" s="25">
        <f t="shared" si="7"/>
        <v>59150</v>
      </c>
      <c r="F34" s="26">
        <f t="shared" si="8"/>
        <v>8.4102316190584517E-2</v>
      </c>
      <c r="G34" s="7">
        <f t="shared" si="15"/>
        <v>0</v>
      </c>
      <c r="H34" s="7">
        <f t="shared" si="16"/>
        <v>112385</v>
      </c>
      <c r="I34" s="7">
        <f t="shared" si="17"/>
        <v>112385</v>
      </c>
      <c r="K34" s="9">
        <f t="shared" si="9"/>
        <v>1123850</v>
      </c>
      <c r="L34" s="9">
        <f t="shared" si="9"/>
        <v>1478750</v>
      </c>
    </row>
    <row r="35" spans="1:12">
      <c r="A35" s="5" t="s">
        <v>19</v>
      </c>
      <c r="B35" s="27">
        <f>SUM(B21:B34)</f>
        <v>482710</v>
      </c>
      <c r="C35" s="23"/>
      <c r="D35" s="27">
        <f>SUM(D21:D34)</f>
        <v>220600</v>
      </c>
      <c r="E35" s="27">
        <f>SUM(E21:E34)</f>
        <v>703310</v>
      </c>
      <c r="F35" s="22">
        <f t="shared" si="8"/>
        <v>1</v>
      </c>
      <c r="K35" s="16">
        <f t="shared" si="9"/>
        <v>13362890</v>
      </c>
      <c r="L35" s="16">
        <f t="shared" si="9"/>
        <v>17582750</v>
      </c>
    </row>
    <row r="36" spans="1:12">
      <c r="A36" s="5" t="s">
        <v>20</v>
      </c>
      <c r="B36" s="22">
        <f>B35/$E$15</f>
        <v>0.68634030512860611</v>
      </c>
      <c r="C36" s="22"/>
      <c r="D36" s="22">
        <f>D35/$E$15</f>
        <v>0.31365969487139383</v>
      </c>
      <c r="E36" s="23"/>
      <c r="F36" s="23"/>
      <c r="K36" s="15"/>
      <c r="L36" s="15"/>
    </row>
    <row r="37" spans="1:12">
      <c r="G37" s="10">
        <v>0.5</v>
      </c>
      <c r="H37" s="10">
        <v>1.9</v>
      </c>
      <c r="K37" s="15">
        <v>19</v>
      </c>
      <c r="L37" s="15">
        <v>25</v>
      </c>
    </row>
    <row r="38" spans="1:12">
      <c r="A38" t="s">
        <v>28</v>
      </c>
      <c r="C38" s="28">
        <v>250000</v>
      </c>
      <c r="D38" s="28"/>
      <c r="E38" s="28">
        <v>500000</v>
      </c>
      <c r="F38" s="28"/>
    </row>
    <row r="39" spans="1:12">
      <c r="C39" s="8">
        <v>0.5</v>
      </c>
      <c r="D39" s="8">
        <v>1</v>
      </c>
      <c r="E39" s="8">
        <v>0.5</v>
      </c>
      <c r="F39" s="8">
        <v>1</v>
      </c>
    </row>
    <row r="40" spans="1:12">
      <c r="A40" t="s">
        <v>25</v>
      </c>
    </row>
    <row r="41" spans="1:12">
      <c r="A41" t="s">
        <v>26</v>
      </c>
      <c r="B41" s="6">
        <v>0.125</v>
      </c>
      <c r="C41" s="13">
        <f>$B$41*C$39*$C$38</f>
        <v>15625</v>
      </c>
      <c r="D41" s="12">
        <f>$B$41*D$39*$C$38</f>
        <v>31250</v>
      </c>
      <c r="E41" s="12">
        <f>$B$41*E$39*$E$38</f>
        <v>31250</v>
      </c>
      <c r="F41" s="12">
        <f>$B$41*F$39*$E$38</f>
        <v>62500</v>
      </c>
    </row>
    <row r="42" spans="1:12">
      <c r="A42" t="s">
        <v>27</v>
      </c>
      <c r="B42" s="6">
        <v>0.125</v>
      </c>
      <c r="C42" s="13">
        <f>$B$41*C$39*$C$38</f>
        <v>15625</v>
      </c>
      <c r="D42" s="12">
        <f>$B$41*D$39*$C$38</f>
        <v>31250</v>
      </c>
      <c r="E42" s="12">
        <f>$B$41*E$39*$E$38</f>
        <v>31250</v>
      </c>
      <c r="F42" s="12">
        <f>$B$41*F$39*$E$38</f>
        <v>62500</v>
      </c>
    </row>
  </sheetData>
  <mergeCells count="2">
    <mergeCell ref="C38:D38"/>
    <mergeCell ref="E38:F38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2015-02-08T18:22:16Z</dcterms:modified>
</cp:coreProperties>
</file>