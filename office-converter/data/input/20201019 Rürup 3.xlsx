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hard.Janning/Desktop/"/>
    </mc:Choice>
  </mc:AlternateContent>
  <xr:revisionPtr revIDLastSave="0" documentId="13_ncr:1_{A780D66F-85B4-A049-A432-918273FEB9AC}" xr6:coauthVersionLast="45" xr6:coauthVersionMax="45" xr10:uidLastSave="{00000000-0000-0000-0000-000000000000}"/>
  <bookViews>
    <workbookView xWindow="22940" yWindow="460" windowWidth="37700" windowHeight="25380" xr2:uid="{F484BE1A-5DE3-4FE7-93A0-2B07BA611591}"/>
  </bookViews>
  <sheets>
    <sheet name="Rürup bAV" sheetId="1" r:id="rId1"/>
  </sheets>
  <definedNames>
    <definedName name="_xlnm.Print_Area" localSheetId="0">'Rürup bAV'!$A$1:$S$92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9" i="1" l="1"/>
  <c r="D27" i="1"/>
  <c r="C27" i="1"/>
  <c r="B30" i="1"/>
  <c r="F23" i="1"/>
  <c r="B23" i="1"/>
  <c r="C23" i="1"/>
  <c r="D23" i="1"/>
  <c r="E23" i="1"/>
  <c r="B31" i="1" l="1"/>
  <c r="B24" i="1"/>
  <c r="C24" i="1" s="1"/>
  <c r="D24" i="1" s="1"/>
  <c r="E24" i="1" s="1"/>
  <c r="H27" i="1" l="1"/>
  <c r="J27" i="1"/>
  <c r="K27" i="1"/>
  <c r="L30" i="1"/>
  <c r="M30" i="1"/>
  <c r="N30" i="1"/>
  <c r="H30" i="1"/>
  <c r="I30" i="1"/>
  <c r="J30" i="1"/>
  <c r="K30" i="1"/>
  <c r="C30" i="1"/>
  <c r="D30" i="1"/>
  <c r="E30" i="1"/>
  <c r="F30" i="1"/>
  <c r="G30" i="1"/>
  <c r="P29" i="1"/>
  <c r="Q29" i="1"/>
  <c r="R29" i="1"/>
  <c r="E27" i="1"/>
  <c r="F27" i="1"/>
  <c r="G27" i="1"/>
  <c r="I27" i="1"/>
  <c r="L27" i="1"/>
  <c r="C31" i="1" l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B15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</calcChain>
</file>

<file path=xl/sharedStrings.xml><?xml version="1.0" encoding="utf-8"?>
<sst xmlns="http://schemas.openxmlformats.org/spreadsheetml/2006/main" count="52" uniqueCount="52">
  <si>
    <t>Jahr 1</t>
  </si>
  <si>
    <t>Jahr 2</t>
  </si>
  <si>
    <t>Jahr 3</t>
  </si>
  <si>
    <t>Jahr 4</t>
  </si>
  <si>
    <t>Jahr 5</t>
  </si>
  <si>
    <t>Jahr 6</t>
  </si>
  <si>
    <t>Jahr 7</t>
  </si>
  <si>
    <t>Jahr 8</t>
  </si>
  <si>
    <t>Jahr 9</t>
  </si>
  <si>
    <t>Jahr 10</t>
  </si>
  <si>
    <t>Jahr 11</t>
  </si>
  <si>
    <t>Jahr 12</t>
  </si>
  <si>
    <t>Jahr 13</t>
  </si>
  <si>
    <t>Jahr 14</t>
  </si>
  <si>
    <t>Jahr 15</t>
  </si>
  <si>
    <t>Jahr 16</t>
  </si>
  <si>
    <t>Jahr 17</t>
  </si>
  <si>
    <t>Jährliche Rentenzahlung</t>
  </si>
  <si>
    <t>Steuerliche Anrechenbarkeit Rürup</t>
  </si>
  <si>
    <t>Zinssatz</t>
  </si>
  <si>
    <t>Voraussetzung</t>
  </si>
  <si>
    <t>Spitzensteuersatz über 10 Jahre</t>
  </si>
  <si>
    <t>Restschuld Kredit bei Rentenbeginn 67 Jahre</t>
  </si>
  <si>
    <t>Steueuersatz während der Rente</t>
  </si>
  <si>
    <t>Steuersatz bis zur Rente in Ansparphase</t>
  </si>
  <si>
    <t>Annahmen</t>
  </si>
  <si>
    <t xml:space="preserve">Beispielalter </t>
  </si>
  <si>
    <t>Netto Investitionbetrag</t>
  </si>
  <si>
    <t>Alter</t>
  </si>
  <si>
    <t>Auszahlungsphasephase ab 63</t>
  </si>
  <si>
    <t>Kreditauszahlung als Rürup Einzahlungsbetrag</t>
  </si>
  <si>
    <t>Rürup Rente (Auszahlungsphase ab 62)</t>
  </si>
  <si>
    <t xml:space="preserve">Rentenhöhe ab 63 Brutto </t>
  </si>
  <si>
    <t>Ruhephase</t>
  </si>
  <si>
    <t>Vertragsjahr</t>
  </si>
  <si>
    <t>Rentenvermögen</t>
  </si>
  <si>
    <t>Verzinsung Rürup (Grantie- + Überschuss)</t>
  </si>
  <si>
    <t>Nettotilgung Restschuld (Investitionsbetrag)</t>
  </si>
  <si>
    <t>Einzahlungsphase</t>
  </si>
  <si>
    <t>Milderungszone beim Solidaritätszuschlag</t>
  </si>
  <si>
    <t>https://www.steuern.de/soli-abschaffung.html</t>
  </si>
  <si>
    <t>Rechner Solidaritätszuschlag</t>
  </si>
  <si>
    <t>Kredit zm Rentenaufbau mit 10% Sondertilgung, Laufzeit 20 Jahre</t>
  </si>
  <si>
    <t xml:space="preserve">Netto Tilgung Investionsbetrag bis Rentenbeginn 67 </t>
  </si>
  <si>
    <t xml:space="preserve">Kredittilgung durch </t>
  </si>
  <si>
    <t xml:space="preserve">Steuerliche Rückvergütung </t>
  </si>
  <si>
    <t>Max. Ersparnis Solidaritätszuschlag</t>
  </si>
  <si>
    <t>Rürup "bAV" fremdfinanziert - Beispielrechnung für 50 jährigen Besserverdiener</t>
  </si>
  <si>
    <t>Rente Netto zur Kredittilgung pro Jahr</t>
  </si>
  <si>
    <t>Näherungsrechnung über 10 Jahre Einzahlung</t>
  </si>
  <si>
    <r>
      <rPr>
        <b/>
        <u/>
        <sz val="16"/>
        <color theme="1"/>
        <rFont val="Calibri"/>
        <family val="2"/>
        <scheme val="minor"/>
      </rPr>
      <t>Fazit:</t>
    </r>
    <r>
      <rPr>
        <b/>
        <sz val="16"/>
        <color theme="1"/>
        <rFont val="Calibri"/>
        <family val="2"/>
        <scheme val="minor"/>
      </rPr>
      <t xml:space="preserve">
=&gt; 17 Jahre Netto 187€/Monat aufwenden 
=&gt; ab 18.Jahr steht eine lebenslangen Rentenanspruch von 519€ Brutto (389€ Netto) zur Verfügung
=&gt; Verhinderung Soli ab 2021 über 5 Jahre</t>
    </r>
  </si>
  <si>
    <t>58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</si>
</sst>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8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/>
    <xf numFmtId="0" fontId="0" fillId="0" borderId="3" xfId="0" applyBorder="1"/>
    <xf numFmtId="164" fontId="0" fillId="0" borderId="3" xfId="0" applyNumberFormat="1" applyBorder="1"/>
    <xf numFmtId="0" fontId="0" fillId="0" borderId="2" xfId="0" applyFill="1" applyBorder="1"/>
    <xf numFmtId="164" fontId="0" fillId="0" borderId="2" xfId="0" applyNumberFormat="1" applyBorder="1"/>
    <xf numFmtId="164" fontId="0" fillId="0" borderId="2" xfId="0" quotePrefix="1" applyNumberFormat="1" applyBorder="1" applyAlignment="1">
      <alignment horizontal="center"/>
    </xf>
    <xf numFmtId="0" fontId="0" fillId="4" borderId="0" xfId="0" applyFill="1"/>
    <xf numFmtId="3" fontId="0" fillId="4" borderId="0" xfId="0" applyNumberFormat="1" applyFill="1"/>
    <xf numFmtId="9" fontId="0" fillId="4" borderId="0" xfId="0" applyNumberFormat="1" applyFill="1"/>
    <xf numFmtId="0" fontId="3" fillId="4" borderId="0" xfId="1" applyFill="1"/>
    <xf numFmtId="164" fontId="0" fillId="4" borderId="0" xfId="0" applyNumberFormat="1" applyFill="1"/>
    <xf numFmtId="164" fontId="1" fillId="4" borderId="0" xfId="0" applyNumberFormat="1" applyFont="1" applyFill="1"/>
    <xf numFmtId="0" fontId="0" fillId="4" borderId="0" xfId="0" applyFill="1" applyAlignment="1">
      <alignment horizontal="left"/>
    </xf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wrapText="1"/>
    </xf>
    <xf numFmtId="0" fontId="8" fillId="4" borderId="0" xfId="0" applyFont="1" applyFill="1"/>
    <xf numFmtId="10" fontId="1" fillId="4" borderId="0" xfId="0" applyNumberFormat="1" applyFont="1" applyFill="1"/>
    <xf numFmtId="10" fontId="0" fillId="4" borderId="0" xfId="0" applyNumberFormat="1" applyFont="1" applyFill="1"/>
    <xf numFmtId="0" fontId="1" fillId="5" borderId="1" xfId="0" applyFont="1" applyFill="1" applyBorder="1" applyAlignment="1">
      <alignment wrapText="1"/>
    </xf>
    <xf numFmtId="9" fontId="0" fillId="5" borderId="1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4" fillId="6" borderId="6" xfId="0" applyFont="1" applyFill="1" applyBorder="1" applyAlignment="1">
      <alignment horizontal="center" vertical="top" wrapText="1"/>
    </xf>
    <xf numFmtId="0" fontId="4" fillId="6" borderId="7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top"/>
    </xf>
    <xf numFmtId="0" fontId="4" fillId="6" borderId="0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4" fillId="6" borderId="12" xfId="0" applyFont="1" applyFill="1" applyBorder="1" applyAlignment="1">
      <alignment horizontal="center" vertical="top"/>
    </xf>
    <xf numFmtId="0" fontId="4" fillId="6" borderId="13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182881</xdr:colOff>
      <xdr:row>33</xdr:row>
      <xdr:rowOff>50800</xdr:rowOff>
    </xdr:from>
    <xdr:to>
      <xdr:col>6</xdr:col>
      <xdr:colOff>268592</xdr:colOff>
      <xdr:row>69</xdr:row>
      <xdr:rowOff>161432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63EA65A-87F1-44A4-9E00-18E1C741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1" y="5049520"/>
          <a:ext cx="7402040" cy="6918960"/>
        </a:xfrm>
        <a:prstGeom prst="rect">
          <a:avLst/>
        </a:prstGeom>
      </xdr:spPr>
    </xdr:pic>
    <xdr:clientData/>
  </xdr:twoCellAnchor>
  <xdr:twoCellAnchor editAs="oneCell">
    <xdr:from>
      <xdr:col>0</xdr:col>
      <xdr:colOff>82640</xdr:colOff>
      <xdr:row>71</xdr:row>
      <xdr:rowOff>167790</xdr:rowOff>
    </xdr:from>
    <xdr:to>
      <xdr:col>4</xdr:col>
      <xdr:colOff>45010</xdr:colOff>
      <xdr:row>86</xdr:row>
      <xdr:rowOff>37363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58144EF-5961-4665-B8A8-B47C7294C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40" y="13801728"/>
          <a:ext cx="6011478" cy="268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mart-rechner.de/soli/rechner.php" TargetMode="External"/><Relationship Id="rId2" Type="http://schemas.openxmlformats.org/officeDocument/2006/relationships/hyperlink" Target="https://www.steuern.de/soli-abschaffung.html" TargetMode="External"/><Relationship Id="rId1" Type="http://schemas.openxmlformats.org/officeDocument/2006/relationships/hyperlink" Target="https://www.allianz.de/vorsorge/ruerup-rente/rechner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4D79-CF6E-485D-A6FD-0728B75E7EFA}">
  <sheetPr>
    <pageSetUpPr fitToPage="1"/>
  </sheetPr>
  <dimension ref="A1:JD143"/>
  <sheetViews>
    <sheetView tabSelected="1" zoomScaleNormal="100" workbookViewId="0">
      <selection activeCell="A88" sqref="A88"/>
    </sheetView>
  </sheetViews>
  <sheetFormatPr baseColWidth="10" defaultRowHeight="15" x14ac:dyDescent="0.2"/>
  <cols>
    <col min="1" max="1" width="60.6640625" customWidth="1"/>
    <col min="2" max="2" width="8.6640625" bestFit="1" customWidth="1"/>
    <col min="3" max="4" width="9.5" bestFit="1" customWidth="1"/>
    <col min="5" max="10" width="9" bestFit="1" customWidth="1"/>
    <col min="11" max="18" width="9.33203125" bestFit="1" customWidth="1"/>
    <col min="20" max="264" width="11.5" style="15"/>
  </cols>
  <sheetData>
    <row r="1" spans="1:19" ht="24" x14ac:dyDescent="0.3">
      <c r="A1" s="22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19" x14ac:dyDescent="0.25">
      <c r="A4" s="25" t="s">
        <v>25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16" x14ac:dyDescent="0.2">
      <c r="A5" s="23" t="s">
        <v>20</v>
      </c>
      <c r="B5" s="41" t="s">
        <v>21</v>
      </c>
      <c r="C5" s="41"/>
      <c r="D5" s="41"/>
      <c r="E5" s="41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16" x14ac:dyDescent="0.2">
      <c r="A6" s="23" t="s">
        <v>26</v>
      </c>
      <c r="B6" s="21" t="s">
        <v>51</v>
      </c>
      <c r="C6" s="21"/>
      <c r="D6" s="21"/>
      <c r="E6" s="21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17" x14ac:dyDescent="0.2">
      <c r="A7" s="24" t="s">
        <v>42</v>
      </c>
      <c r="B7" s="16">
        <v>100000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16" x14ac:dyDescent="0.2">
      <c r="A8" s="23" t="s">
        <v>19</v>
      </c>
      <c r="B8" s="17">
        <v>0.01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2">
      <c r="A9" s="18" t="s">
        <v>31</v>
      </c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16" x14ac:dyDescent="0.2">
      <c r="A10" s="23" t="s">
        <v>36</v>
      </c>
      <c r="B10" s="27">
        <v>0.02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16" x14ac:dyDescent="0.2">
      <c r="A11" s="23" t="s">
        <v>32</v>
      </c>
      <c r="B11" s="16">
        <v>519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ht="16" x14ac:dyDescent="0.2">
      <c r="A12" s="23" t="s">
        <v>17</v>
      </c>
      <c r="B12" s="16">
        <v>20000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6" x14ac:dyDescent="0.2">
      <c r="A13" s="23" t="s">
        <v>24</v>
      </c>
      <c r="B13" s="17">
        <v>0.43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16" x14ac:dyDescent="0.2">
      <c r="A14" s="23" t="s">
        <v>23</v>
      </c>
      <c r="B14" s="17">
        <v>0.25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ht="16" x14ac:dyDescent="0.2">
      <c r="A15" s="23" t="s">
        <v>27</v>
      </c>
      <c r="B15" s="19">
        <f>SUM(B30:N30)</f>
        <v>39000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t="16" x14ac:dyDescent="0.2">
      <c r="A16" s="23" t="s">
        <v>43</v>
      </c>
      <c r="B16" s="20">
        <v>250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x14ac:dyDescent="0.2">
      <c r="A17" s="15"/>
      <c r="B17" s="2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2">
      <c r="A18" s="15"/>
      <c r="B18" s="20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">
      <c r="A20" s="1"/>
      <c r="B20" s="43" t="s">
        <v>38</v>
      </c>
      <c r="C20" s="44"/>
      <c r="D20" s="44"/>
      <c r="E20" s="44"/>
      <c r="F20" s="44"/>
      <c r="G20" s="44"/>
      <c r="H20" s="44"/>
      <c r="I20" s="44"/>
      <c r="J20" s="44"/>
      <c r="K20" s="44"/>
      <c r="L20" s="42" t="s">
        <v>33</v>
      </c>
      <c r="M20" s="42"/>
      <c r="N20" s="42"/>
      <c r="O20" s="40" t="s">
        <v>29</v>
      </c>
      <c r="P20" s="40"/>
      <c r="Q20" s="40"/>
      <c r="R20" s="40"/>
      <c r="S20" s="15"/>
    </row>
    <row r="21" spans="1:19" x14ac:dyDescent="0.2">
      <c r="A21" s="1" t="s">
        <v>34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  <c r="O21" s="2" t="s">
        <v>13</v>
      </c>
      <c r="P21" s="2" t="s">
        <v>14</v>
      </c>
      <c r="Q21" s="2" t="s">
        <v>15</v>
      </c>
      <c r="R21" s="2" t="s">
        <v>16</v>
      </c>
      <c r="S21" s="15"/>
    </row>
    <row r="22" spans="1:19" x14ac:dyDescent="0.2">
      <c r="A22" s="1" t="s">
        <v>28</v>
      </c>
      <c r="B22" s="2">
        <v>59</v>
      </c>
      <c r="C22" s="2">
        <v>60</v>
      </c>
      <c r="D22" s="2">
        <v>61</v>
      </c>
      <c r="E22" s="2">
        <v>62</v>
      </c>
      <c r="F22" s="2">
        <v>63</v>
      </c>
      <c r="G22" s="2">
        <v>64</v>
      </c>
      <c r="H22" s="2">
        <v>65</v>
      </c>
      <c r="I22" s="2">
        <v>66</v>
      </c>
      <c r="J22" s="2">
        <v>67</v>
      </c>
      <c r="K22" s="2">
        <v>68</v>
      </c>
      <c r="L22" s="2">
        <v>61</v>
      </c>
      <c r="M22" s="2">
        <v>62</v>
      </c>
      <c r="N22" s="2">
        <v>63</v>
      </c>
      <c r="O22" s="2">
        <v>64</v>
      </c>
      <c r="P22" s="2">
        <v>65</v>
      </c>
      <c r="Q22" s="2">
        <v>66</v>
      </c>
      <c r="R22" s="2">
        <v>67</v>
      </c>
      <c r="S22" s="15"/>
    </row>
    <row r="23" spans="1:19" x14ac:dyDescent="0.2">
      <c r="A23" s="3" t="s">
        <v>30</v>
      </c>
      <c r="B23" s="4">
        <f>$B$12</f>
        <v>20000</v>
      </c>
      <c r="C23" s="4">
        <f t="shared" ref="C23:F23" si="0">$B$12</f>
        <v>20000</v>
      </c>
      <c r="D23" s="4">
        <f t="shared" si="0"/>
        <v>20000</v>
      </c>
      <c r="E23" s="4">
        <f t="shared" si="0"/>
        <v>20000</v>
      </c>
      <c r="F23" s="4">
        <f t="shared" si="0"/>
        <v>20000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5"/>
    </row>
    <row r="24" spans="1:19" x14ac:dyDescent="0.2">
      <c r="A24" s="3" t="s">
        <v>35</v>
      </c>
      <c r="B24" s="4">
        <f>B23</f>
        <v>20000</v>
      </c>
      <c r="C24" s="4">
        <f>(B24*(1+$B$10))+C23</f>
        <v>40400</v>
      </c>
      <c r="D24" s="4">
        <f>(C24*(1+$B$10))+D23</f>
        <v>61208</v>
      </c>
      <c r="E24" s="4">
        <f t="shared" ref="E24:P24" si="1">(D24*(1+$B$10))+E23</f>
        <v>82432.160000000003</v>
      </c>
      <c r="F24" s="4">
        <f t="shared" si="1"/>
        <v>104080.80320000001</v>
      </c>
      <c r="G24" s="4">
        <f t="shared" si="1"/>
        <v>106162.41926400001</v>
      </c>
      <c r="H24" s="4">
        <f t="shared" si="1"/>
        <v>108285.66764928002</v>
      </c>
      <c r="I24" s="4">
        <f t="shared" si="1"/>
        <v>110451.38100226563</v>
      </c>
      <c r="J24" s="4">
        <f t="shared" si="1"/>
        <v>112660.40862231093</v>
      </c>
      <c r="K24" s="4">
        <f t="shared" si="1"/>
        <v>114913.61679475715</v>
      </c>
      <c r="L24" s="4">
        <f t="shared" si="1"/>
        <v>117211.8891306523</v>
      </c>
      <c r="M24" s="4">
        <f t="shared" si="1"/>
        <v>119556.12691326535</v>
      </c>
      <c r="N24" s="4">
        <f t="shared" si="1"/>
        <v>121947.24945153066</v>
      </c>
      <c r="O24" s="4">
        <f t="shared" si="1"/>
        <v>124386.19444056127</v>
      </c>
      <c r="P24" s="4">
        <f t="shared" si="1"/>
        <v>126873.91832937251</v>
      </c>
      <c r="Q24" s="4">
        <f t="shared" ref="Q24" si="2">(P24*(1+$B$10))+Q23</f>
        <v>129411.39669595996</v>
      </c>
      <c r="R24" s="4">
        <f t="shared" ref="R24" si="3">(Q24*(1+$B$10))+R23</f>
        <v>131999.62462987917</v>
      </c>
      <c r="S24" s="15"/>
    </row>
    <row r="25" spans="1:19" ht="16" x14ac:dyDescent="0.2">
      <c r="A25" s="5" t="s">
        <v>18</v>
      </c>
      <c r="B25" s="6">
        <v>0.92</v>
      </c>
      <c r="C25" s="6">
        <v>0.94</v>
      </c>
      <c r="D25" s="6">
        <v>0.96</v>
      </c>
      <c r="E25" s="6">
        <v>0.98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15"/>
    </row>
    <row r="26" spans="1:19" ht="16" x14ac:dyDescent="0.2">
      <c r="A26" s="28" t="s">
        <v>44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15"/>
    </row>
    <row r="27" spans="1:19" x14ac:dyDescent="0.2">
      <c r="A27" s="1" t="s">
        <v>45</v>
      </c>
      <c r="B27" s="7"/>
      <c r="C27" s="7">
        <f t="shared" ref="C27:L27" si="4">B25*B23*$B$13</f>
        <v>7912</v>
      </c>
      <c r="D27" s="7">
        <f t="shared" si="4"/>
        <v>8084</v>
      </c>
      <c r="E27" s="7">
        <f t="shared" si="4"/>
        <v>8256</v>
      </c>
      <c r="F27" s="7">
        <f t="shared" si="4"/>
        <v>8428</v>
      </c>
      <c r="G27" s="7">
        <f t="shared" si="4"/>
        <v>8600</v>
      </c>
      <c r="H27" s="7">
        <f t="shared" si="4"/>
        <v>0</v>
      </c>
      <c r="I27" s="7">
        <f t="shared" si="4"/>
        <v>0</v>
      </c>
      <c r="J27" s="7">
        <f t="shared" si="4"/>
        <v>0</v>
      </c>
      <c r="K27" s="7">
        <f t="shared" si="4"/>
        <v>0</v>
      </c>
      <c r="L27" s="7">
        <f t="shared" si="4"/>
        <v>0</v>
      </c>
      <c r="M27" s="7"/>
      <c r="N27" s="7"/>
      <c r="O27" s="1"/>
      <c r="P27" s="1"/>
      <c r="Q27" s="1"/>
      <c r="R27" s="1"/>
      <c r="S27" s="15"/>
    </row>
    <row r="28" spans="1:19" x14ac:dyDescent="0.2">
      <c r="A28" s="1" t="s">
        <v>46</v>
      </c>
      <c r="B28" s="7">
        <v>2525.16</v>
      </c>
      <c r="C28" s="7">
        <v>2525.16</v>
      </c>
      <c r="D28" s="7">
        <v>2525.16</v>
      </c>
      <c r="E28" s="7">
        <v>2525.16</v>
      </c>
      <c r="F28" s="7">
        <v>2525.16</v>
      </c>
      <c r="G28" s="7"/>
      <c r="H28" s="7"/>
      <c r="I28" s="7"/>
      <c r="J28" s="7"/>
      <c r="K28" s="7"/>
      <c r="L28" s="7"/>
      <c r="M28" s="7"/>
      <c r="N28" s="7"/>
      <c r="O28" s="1"/>
      <c r="P28" s="1"/>
      <c r="Q28" s="1"/>
      <c r="R28" s="1"/>
      <c r="S28" s="15"/>
    </row>
    <row r="29" spans="1:19" x14ac:dyDescent="0.2">
      <c r="A29" s="9" t="s">
        <v>48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>
        <f>$B$11*12*(1-$B$14)</f>
        <v>4671</v>
      </c>
      <c r="P29" s="7">
        <f t="shared" ref="P29:R29" si="5">$B$11*12*(1-$B$14)</f>
        <v>4671</v>
      </c>
      <c r="Q29" s="7">
        <f t="shared" si="5"/>
        <v>4671</v>
      </c>
      <c r="R29" s="7">
        <f t="shared" si="5"/>
        <v>4671</v>
      </c>
      <c r="S29" s="15"/>
    </row>
    <row r="30" spans="1:19" ht="16" thickBot="1" x14ac:dyDescent="0.25">
      <c r="A30" s="12" t="s">
        <v>37</v>
      </c>
      <c r="B30" s="14">
        <f>$B$16*12</f>
        <v>3000</v>
      </c>
      <c r="C30" s="14">
        <f t="shared" ref="C30:N30" si="6">$B$16*12</f>
        <v>3000</v>
      </c>
      <c r="D30" s="14">
        <f t="shared" si="6"/>
        <v>3000</v>
      </c>
      <c r="E30" s="14">
        <f t="shared" si="6"/>
        <v>3000</v>
      </c>
      <c r="F30" s="14">
        <f t="shared" si="6"/>
        <v>3000</v>
      </c>
      <c r="G30" s="14">
        <f t="shared" si="6"/>
        <v>3000</v>
      </c>
      <c r="H30" s="14">
        <f>$B$16*12</f>
        <v>3000</v>
      </c>
      <c r="I30" s="14">
        <f t="shared" si="6"/>
        <v>3000</v>
      </c>
      <c r="J30" s="14">
        <f t="shared" si="6"/>
        <v>3000</v>
      </c>
      <c r="K30" s="14">
        <f t="shared" si="6"/>
        <v>3000</v>
      </c>
      <c r="L30" s="14">
        <f>$B$16*12</f>
        <v>3000</v>
      </c>
      <c r="M30" s="14">
        <f t="shared" si="6"/>
        <v>3000</v>
      </c>
      <c r="N30" s="14">
        <f t="shared" si="6"/>
        <v>3000</v>
      </c>
      <c r="O30" s="13"/>
      <c r="P30" s="13"/>
      <c r="Q30" s="13"/>
      <c r="R30" s="13"/>
      <c r="S30" s="15"/>
    </row>
    <row r="31" spans="1:19" x14ac:dyDescent="0.2">
      <c r="A31" s="10" t="s">
        <v>22</v>
      </c>
      <c r="B31" s="11">
        <f>($B$7-B27-B28-B30)*(1+$B$8)</f>
        <v>95419.588399999993</v>
      </c>
      <c r="C31" s="11">
        <f>(B31-C27-C28-C29-C30)*(1+B8)</f>
        <v>82802.252683999992</v>
      </c>
      <c r="D31" s="11">
        <f>(C31-D27-D28-D29-D30)*(1+C8)</f>
        <v>69193.092683999988</v>
      </c>
      <c r="E31" s="11">
        <f t="shared" ref="E31:R31" si="7">(D31-E27-E28-E29-E30)*(1+D8)</f>
        <v>55411.932683999985</v>
      </c>
      <c r="F31" s="11">
        <f t="shared" si="7"/>
        <v>41458.772683999981</v>
      </c>
      <c r="G31" s="11">
        <f t="shared" si="7"/>
        <v>29858.772683999981</v>
      </c>
      <c r="H31" s="11">
        <f t="shared" si="7"/>
        <v>26858.772683999981</v>
      </c>
      <c r="I31" s="11">
        <f t="shared" si="7"/>
        <v>23858.772683999981</v>
      </c>
      <c r="J31" s="11">
        <f t="shared" si="7"/>
        <v>20858.772683999981</v>
      </c>
      <c r="K31" s="11">
        <f t="shared" si="7"/>
        <v>17858.772683999981</v>
      </c>
      <c r="L31" s="11">
        <f t="shared" si="7"/>
        <v>14858.772683999981</v>
      </c>
      <c r="M31" s="11">
        <f t="shared" si="7"/>
        <v>11858.772683999981</v>
      </c>
      <c r="N31" s="11">
        <f t="shared" si="7"/>
        <v>8858.7726839999814</v>
      </c>
      <c r="O31" s="11">
        <f t="shared" si="7"/>
        <v>4187.7726839999814</v>
      </c>
      <c r="P31" s="11">
        <f t="shared" si="7"/>
        <v>-483.22731600001862</v>
      </c>
      <c r="Q31" s="11">
        <f t="shared" si="7"/>
        <v>-5154.2273160000186</v>
      </c>
      <c r="R31" s="11">
        <f t="shared" si="7"/>
        <v>-9825.2273160000186</v>
      </c>
      <c r="S31" s="15"/>
    </row>
    <row r="32" spans="1:1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x14ac:dyDescent="0.2">
      <c r="A33" s="15" t="s">
        <v>49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A35" s="15"/>
      <c r="B35" s="15"/>
      <c r="C35" s="15"/>
      <c r="D35" s="15"/>
      <c r="E35" s="15"/>
      <c r="F35" s="15"/>
      <c r="G35" s="19"/>
      <c r="H35" s="15"/>
      <c r="I35" s="31" t="s">
        <v>50</v>
      </c>
      <c r="J35" s="32"/>
      <c r="K35" s="32"/>
      <c r="L35" s="32"/>
      <c r="M35" s="32"/>
      <c r="N35" s="32"/>
      <c r="O35" s="32"/>
      <c r="P35" s="32"/>
      <c r="Q35" s="33"/>
      <c r="R35" s="15"/>
      <c r="S35" s="15"/>
    </row>
    <row r="36" spans="1:19" x14ac:dyDescent="0.2">
      <c r="A36" s="15"/>
      <c r="B36" s="15"/>
      <c r="C36" s="15"/>
      <c r="D36" s="15"/>
      <c r="E36" s="15"/>
      <c r="F36" s="15"/>
      <c r="G36" s="15"/>
      <c r="H36" s="15"/>
      <c r="I36" s="34"/>
      <c r="J36" s="35"/>
      <c r="K36" s="35"/>
      <c r="L36" s="35"/>
      <c r="M36" s="35"/>
      <c r="N36" s="35"/>
      <c r="O36" s="35"/>
      <c r="P36" s="35"/>
      <c r="Q36" s="36"/>
      <c r="R36" s="15"/>
      <c r="S36" s="15"/>
    </row>
    <row r="37" spans="1:19" x14ac:dyDescent="0.2">
      <c r="A37" s="15"/>
      <c r="B37" s="15"/>
      <c r="C37" s="15"/>
      <c r="D37" s="15"/>
      <c r="E37" s="15"/>
      <c r="F37" s="15"/>
      <c r="G37" s="15"/>
      <c r="H37" s="15"/>
      <c r="I37" s="34"/>
      <c r="J37" s="35"/>
      <c r="K37" s="35"/>
      <c r="L37" s="35"/>
      <c r="M37" s="35"/>
      <c r="N37" s="35"/>
      <c r="O37" s="35"/>
      <c r="P37" s="35"/>
      <c r="Q37" s="36"/>
      <c r="R37" s="15"/>
      <c r="S37" s="15"/>
    </row>
    <row r="38" spans="1:19" x14ac:dyDescent="0.2">
      <c r="A38" s="15"/>
      <c r="B38" s="15"/>
      <c r="C38" s="15"/>
      <c r="D38" s="15"/>
      <c r="E38" s="15"/>
      <c r="F38" s="15"/>
      <c r="G38" s="15"/>
      <c r="H38" s="15"/>
      <c r="I38" s="34"/>
      <c r="J38" s="35"/>
      <c r="K38" s="35"/>
      <c r="L38" s="35"/>
      <c r="M38" s="35"/>
      <c r="N38" s="35"/>
      <c r="O38" s="35"/>
      <c r="P38" s="35"/>
      <c r="Q38" s="36"/>
      <c r="R38" s="15"/>
      <c r="S38" s="15"/>
    </row>
    <row r="39" spans="1:19" x14ac:dyDescent="0.2">
      <c r="A39" s="15"/>
      <c r="B39" s="15"/>
      <c r="C39" s="15"/>
      <c r="D39" s="15"/>
      <c r="E39" s="15"/>
      <c r="F39" s="15"/>
      <c r="G39" s="15"/>
      <c r="H39" s="15"/>
      <c r="I39" s="34"/>
      <c r="J39" s="35"/>
      <c r="K39" s="35"/>
      <c r="L39" s="35"/>
      <c r="M39" s="35"/>
      <c r="N39" s="35"/>
      <c r="O39" s="35"/>
      <c r="P39" s="35"/>
      <c r="Q39" s="36"/>
      <c r="R39" s="15"/>
      <c r="S39" s="15"/>
    </row>
    <row r="40" spans="1:19" x14ac:dyDescent="0.2">
      <c r="A40" s="15"/>
      <c r="B40" s="15"/>
      <c r="C40" s="15"/>
      <c r="D40" s="15"/>
      <c r="E40" s="15"/>
      <c r="F40" s="15"/>
      <c r="G40" s="15"/>
      <c r="H40" s="15"/>
      <c r="I40" s="34"/>
      <c r="J40" s="35"/>
      <c r="K40" s="35"/>
      <c r="L40" s="35"/>
      <c r="M40" s="35"/>
      <c r="N40" s="35"/>
      <c r="O40" s="35"/>
      <c r="P40" s="35"/>
      <c r="Q40" s="36"/>
      <c r="R40" s="15"/>
      <c r="S40" s="15"/>
    </row>
    <row r="41" spans="1:19" x14ac:dyDescent="0.2">
      <c r="A41" s="15"/>
      <c r="B41" s="15"/>
      <c r="C41" s="15"/>
      <c r="D41" s="15"/>
      <c r="E41" s="15"/>
      <c r="F41" s="15"/>
      <c r="G41" s="15"/>
      <c r="H41" s="15"/>
      <c r="I41" s="34"/>
      <c r="J41" s="35"/>
      <c r="K41" s="35"/>
      <c r="L41" s="35"/>
      <c r="M41" s="35"/>
      <c r="N41" s="35"/>
      <c r="O41" s="35"/>
      <c r="P41" s="35"/>
      <c r="Q41" s="36"/>
      <c r="R41" s="15"/>
      <c r="S41" s="15"/>
    </row>
    <row r="42" spans="1:19" x14ac:dyDescent="0.2">
      <c r="A42" s="15"/>
      <c r="B42" s="15"/>
      <c r="C42" s="15"/>
      <c r="D42" s="15"/>
      <c r="E42" s="15"/>
      <c r="F42" s="15"/>
      <c r="G42" s="15"/>
      <c r="H42" s="15"/>
      <c r="I42" s="34"/>
      <c r="J42" s="35"/>
      <c r="K42" s="35"/>
      <c r="L42" s="35"/>
      <c r="M42" s="35"/>
      <c r="N42" s="35"/>
      <c r="O42" s="35"/>
      <c r="P42" s="35"/>
      <c r="Q42" s="36"/>
      <c r="R42" s="15"/>
      <c r="S42" s="15"/>
    </row>
    <row r="43" spans="1:19" x14ac:dyDescent="0.2">
      <c r="A43" s="15"/>
      <c r="B43" s="15"/>
      <c r="C43" s="15"/>
      <c r="D43" s="15"/>
      <c r="E43" s="15"/>
      <c r="F43" s="15"/>
      <c r="G43" s="15"/>
      <c r="H43" s="15"/>
      <c r="I43" s="34"/>
      <c r="J43" s="35"/>
      <c r="K43" s="35"/>
      <c r="L43" s="35"/>
      <c r="M43" s="35"/>
      <c r="N43" s="35"/>
      <c r="O43" s="35"/>
      <c r="P43" s="35"/>
      <c r="Q43" s="36"/>
      <c r="R43" s="15"/>
      <c r="S43" s="15"/>
    </row>
    <row r="44" spans="1:19" x14ac:dyDescent="0.2">
      <c r="A44" s="15"/>
      <c r="B44" s="15"/>
      <c r="C44" s="15"/>
      <c r="D44" s="15"/>
      <c r="E44" s="15"/>
      <c r="F44" s="15"/>
      <c r="G44" s="15"/>
      <c r="H44" s="15"/>
      <c r="I44" s="34"/>
      <c r="J44" s="35"/>
      <c r="K44" s="35"/>
      <c r="L44" s="35"/>
      <c r="M44" s="35"/>
      <c r="N44" s="35"/>
      <c r="O44" s="35"/>
      <c r="P44" s="35"/>
      <c r="Q44" s="36"/>
      <c r="R44" s="15"/>
      <c r="S44" s="15"/>
    </row>
    <row r="45" spans="1:19" x14ac:dyDescent="0.2">
      <c r="A45" s="15"/>
      <c r="B45" s="15"/>
      <c r="C45" s="15"/>
      <c r="D45" s="15"/>
      <c r="E45" s="15"/>
      <c r="F45" s="15"/>
      <c r="G45" s="15"/>
      <c r="H45" s="15"/>
      <c r="I45" s="37"/>
      <c r="J45" s="38"/>
      <c r="K45" s="38"/>
      <c r="L45" s="38"/>
      <c r="M45" s="38"/>
      <c r="N45" s="38"/>
      <c r="O45" s="38"/>
      <c r="P45" s="38"/>
      <c r="Q45" s="39"/>
      <c r="R45" s="15"/>
      <c r="S45" s="15"/>
    </row>
    <row r="46" spans="1:19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spans="1:19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1:19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1:19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ht="31.2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1:19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1:19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1:19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ht="14.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ht="14.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x14ac:dyDescent="0.2"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spans="1:19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ht="45.5" customHeight="1" x14ac:dyDescent="0.2">
      <c r="A71" s="30" t="s">
        <v>39</v>
      </c>
      <c r="B71" s="30"/>
      <c r="C71" s="30"/>
      <c r="D71" s="30"/>
      <c r="E71" s="30"/>
      <c r="F71" s="30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spans="1:19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spans="1:19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pans="1:19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 s="15" customFormat="1" x14ac:dyDescent="0.2"/>
    <row r="84" spans="1:19" s="15" customFormat="1" x14ac:dyDescent="0.2"/>
    <row r="85" spans="1:19" s="15" customFormat="1" x14ac:dyDescent="0.2"/>
    <row r="86" spans="1:19" s="15" customFormat="1" x14ac:dyDescent="0.2"/>
    <row r="87" spans="1:19" s="15" customFormat="1" x14ac:dyDescent="0.2"/>
    <row r="88" spans="1:19" s="15" customFormat="1" x14ac:dyDescent="0.2">
      <c r="A88" s="18" t="s">
        <v>40</v>
      </c>
    </row>
    <row r="89" spans="1:19" s="15" customFormat="1" x14ac:dyDescent="0.2"/>
    <row r="90" spans="1:19" s="15" customFormat="1" x14ac:dyDescent="0.2"/>
    <row r="91" spans="1:19" s="15" customFormat="1" x14ac:dyDescent="0.2">
      <c r="A91" s="18" t="s">
        <v>41</v>
      </c>
    </row>
    <row r="92" spans="1:19" s="15" customFormat="1" x14ac:dyDescent="0.2"/>
    <row r="93" spans="1:19" s="15" customFormat="1" x14ac:dyDescent="0.2"/>
    <row r="94" spans="1:19" s="15" customFormat="1" x14ac:dyDescent="0.2"/>
    <row r="95" spans="1:19" s="15" customFormat="1" x14ac:dyDescent="0.2"/>
    <row r="96" spans="1:19" s="15" customFormat="1" x14ac:dyDescent="0.2"/>
    <row r="97" s="15" customFormat="1" x14ac:dyDescent="0.2"/>
    <row r="98" s="15" customFormat="1" x14ac:dyDescent="0.2"/>
    <row r="99" s="15" customFormat="1" x14ac:dyDescent="0.2"/>
    <row r="100" s="15" customFormat="1" x14ac:dyDescent="0.2"/>
    <row r="101" s="15" customFormat="1" x14ac:dyDescent="0.2"/>
    <row r="102" s="15" customFormat="1" x14ac:dyDescent="0.2"/>
    <row r="103" s="15" customFormat="1" x14ac:dyDescent="0.2"/>
    <row r="104" s="15" customFormat="1" x14ac:dyDescent="0.2"/>
    <row r="105" s="15" customFormat="1" x14ac:dyDescent="0.2"/>
    <row r="106" s="15" customFormat="1" x14ac:dyDescent="0.2"/>
    <row r="107" s="15" customFormat="1" x14ac:dyDescent="0.2"/>
    <row r="108" s="15" customFormat="1" x14ac:dyDescent="0.2"/>
    <row r="109" s="15" customFormat="1" x14ac:dyDescent="0.2"/>
    <row r="110" s="15" customFormat="1" x14ac:dyDescent="0.2"/>
    <row r="111" s="15" customFormat="1" x14ac:dyDescent="0.2"/>
    <row r="112" s="15" customFormat="1" x14ac:dyDescent="0.2"/>
    <row r="113" s="15" customFormat="1" x14ac:dyDescent="0.2"/>
    <row r="114" s="15" customFormat="1" x14ac:dyDescent="0.2"/>
    <row r="115" s="15" customFormat="1" x14ac:dyDescent="0.2"/>
    <row r="116" s="15" customFormat="1" x14ac:dyDescent="0.2"/>
    <row r="117" s="15" customFormat="1" x14ac:dyDescent="0.2"/>
    <row r="118" s="15" customFormat="1" x14ac:dyDescent="0.2"/>
    <row r="119" s="15" customFormat="1" x14ac:dyDescent="0.2"/>
    <row r="120" s="15" customFormat="1" x14ac:dyDescent="0.2"/>
    <row r="121" s="15" customFormat="1" x14ac:dyDescent="0.2"/>
    <row r="122" s="15" customFormat="1" x14ac:dyDescent="0.2"/>
    <row r="123" s="15" customFormat="1" x14ac:dyDescent="0.2"/>
    <row r="124" s="15" customFormat="1" x14ac:dyDescent="0.2"/>
    <row r="125" s="15" customFormat="1" x14ac:dyDescent="0.2"/>
    <row r="126" s="15" customFormat="1" x14ac:dyDescent="0.2"/>
    <row r="127" s="15" customFormat="1" x14ac:dyDescent="0.2"/>
    <row r="128" s="15" customFormat="1" x14ac:dyDescent="0.2"/>
    <row r="129" s="15" customFormat="1" x14ac:dyDescent="0.2"/>
    <row r="130" s="15" customFormat="1" x14ac:dyDescent="0.2"/>
    <row r="131" s="15" customFormat="1" x14ac:dyDescent="0.2"/>
    <row r="132" s="15" customFormat="1" x14ac:dyDescent="0.2"/>
    <row r="133" s="15" customFormat="1" x14ac:dyDescent="0.2"/>
    <row r="134" s="15" customFormat="1" x14ac:dyDescent="0.2"/>
    <row r="135" s="15" customFormat="1" x14ac:dyDescent="0.2"/>
    <row r="136" s="15" customFormat="1" x14ac:dyDescent="0.2"/>
    <row r="137" s="15" customFormat="1" x14ac:dyDescent="0.2"/>
    <row r="138" s="15" customFormat="1" x14ac:dyDescent="0.2"/>
    <row r="139" s="15" customFormat="1" x14ac:dyDescent="0.2"/>
    <row r="140" s="15" customFormat="1" x14ac:dyDescent="0.2"/>
    <row r="141" s="15" customFormat="1" x14ac:dyDescent="0.2"/>
    <row r="142" s="15" customFormat="1" x14ac:dyDescent="0.2"/>
    <row r="143" s="15" customFormat="1" x14ac:dyDescent="0.2"/>
  </sheetData>
  <mergeCells count="6">
    <mergeCell ref="A71:F71"/>
    <mergeCell ref="I35:Q45"/>
    <mergeCell ref="O20:R20"/>
    <mergeCell ref="B5:E5"/>
    <mergeCell ref="L20:N20"/>
    <mergeCell ref="B20:K20"/>
  </mergeCells>
  <phoneticPr fontId="2" type="noConversion"/>
  <hyperlinks>
    <hyperlink ref="A9" r:id="rId1" location="rechner" xr:uid="{01B149A4-15C9-43DB-8F7E-C1ADB77FD959}"/>
    <hyperlink ref="A88" r:id="rId2" xr:uid="{7C936220-1EB3-4CD4-8EB4-F7804950267B}"/>
    <hyperlink ref="A91" r:id="rId3" xr:uid="{C6E7C05C-399B-4DA3-8ABF-B8BE17CC434A}"/>
  </hyperlinks>
  <pageMargins left="0.70866141732283472" right="0.70866141732283472" top="0.78740157480314965" bottom="0.78740157480314965" header="0.31496062992125984" footer="0.31496062992125984"/>
  <pageSetup paperSize="9" scale="33" orientation="landscape" horizontalDpi="4294967293" verticalDpi="4294967293" r:id="rId4"/>
  <headerFooter>
    <oddHeader>&amp;F</oddHeader>
    <oddFooter>&amp;L&amp;B Vertraulich&amp;B&amp;C&amp;D&amp;RSeite 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Rürup bAV</vt:lpstr>
      <vt:lpstr>'Rürup bAV'!Druckbereich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Tilo Schmidt</dc:creator>
  <cp:lastModifiedBy>Microsoft Office User</cp:lastModifiedBy>
  <cp:lastPrinted>2020-09-25T08:35:46Z</cp:lastPrinted>
  <dcterms:created xsi:type="dcterms:W3CDTF">2020-09-25T06:28:59Z</dcterms:created>
  <dcterms:modified xsi:type="dcterms:W3CDTF">2020-10-04T15:59:43Z</dcterms:modified>
</cp:coreProperties>
</file>